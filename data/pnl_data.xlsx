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&amp;L Analysis" sheetId="3" state="visible" r:id="rId3"/>
    <sheet xmlns:r="http://schemas.openxmlformats.org/officeDocument/2006/relationships" name="Budget Variance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Management Insights" sheetId="6" state="visible" r:id="rId6"/>
    <sheet xmlns:r="http://schemas.openxmlformats.org/officeDocument/2006/relationships" name="Dashboard" sheetId="7" state="visible" r:id="rId7"/>
  </sheets>
  <definedNames>
    <definedName name="TaxRate">'P&amp;L Analysis'!$Q$2</definedName>
    <definedName name="_xlnm._FilterDatabase" localSheetId="1" hidden="1">'Raw Data'!$A$1:$K$13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.0"/>
    <numFmt numFmtId="167" formatCode="+0.0%;-0.0%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i val="1"/>
      <color rgb="FF2F7E79"/>
      <sz val="11"/>
    </font>
    <font>
      <name val="Calibri"/>
      <b val="1"/>
      <color rgb="FF17365D"/>
      <sz val="11"/>
    </font>
    <font>
      <name val="Calibri"/>
      <b val="1"/>
      <color rgb="FF17365D"/>
      <sz val="13"/>
    </font>
    <font>
      <name val="Calibri"/>
      <b val="1"/>
      <color rgb="FFFFFFFF"/>
      <sz val="11"/>
    </font>
    <font>
      <name val="Calibri"/>
      <i val="1"/>
      <color rgb="FF2F7E79"/>
      <sz val="11"/>
    </font>
    <font>
      <name val="Calibri"/>
      <b val="1"/>
      <color rgb="FFFFFFFF"/>
      <sz val="22"/>
    </font>
    <font>
      <name val="Calibri"/>
      <b val="1"/>
      <color rgb="FFFFFFFF"/>
      <sz val="11"/>
    </font>
    <font>
      <name val="Calibri"/>
      <b val="1"/>
      <color rgb="FF17365D"/>
      <sz val="22"/>
    </font>
    <font>
      <name val="Calibri"/>
      <b val="1"/>
      <color rgb="FFFFFFFF"/>
      <sz val="12"/>
    </font>
    <font>
      <b val="1"/>
      <color rgb="00FFFFFF"/>
    </font>
    <font>
      <b val="1"/>
    </font>
    <font>
      <b val="1"/>
      <color rgb="00002060"/>
    </font>
    <font>
      <i val="1"/>
    </font>
    <font>
      <b val="1"/>
      <color rgb="009C0006"/>
      <sz val="11"/>
    </font>
    <font>
      <sz val="10"/>
    </font>
    <font>
      <b val="1"/>
      <color rgb="00276221"/>
    </font>
    <font>
      <b val="1"/>
      <color rgb="009C0006"/>
    </font>
    <font>
      <b val="1"/>
      <i val="1"/>
    </font>
    <font>
      <i val="1"/>
      <color rgb="009C0006"/>
    </font>
    <font>
      <i val="1"/>
      <color rgb="00595959"/>
    </font>
  </fonts>
  <fills count="13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8FBFD"/>
      </patternFill>
    </fill>
    <fill>
      <patternFill patternType="solid">
        <fgColor rgb="FFE2F0D9"/>
      </patternFill>
    </fill>
    <fill>
      <patternFill patternType="solid">
        <fgColor rgb="FF2F7E79"/>
      </patternFill>
    </fill>
    <fill>
      <patternFill patternType="solid">
        <fgColor rgb="FFFFFFFF"/>
      </patternFill>
    </fill>
    <fill>
      <patternFill patternType="solid">
        <fgColor rgb="0017365D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0" fontId="3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6" borderId="1" pivotButton="0" quotePrefix="0" xfId="0"/>
    <xf numFmtId="164" fontId="0" fillId="6" borderId="1" pivotButton="0" quotePrefix="0" xfId="0"/>
    <xf numFmtId="165" fontId="0" fillId="0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left"/>
    </xf>
    <xf numFmtId="165" fontId="0" fillId="5" borderId="1" applyAlignment="1" pivotButton="0" quotePrefix="0" xfId="0">
      <alignment horizontal="left"/>
    </xf>
    <xf numFmtId="0" fontId="0" fillId="5" borderId="1" applyAlignment="1" pivotButton="0" quotePrefix="0" xfId="0">
      <alignment wrapText="1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left"/>
    </xf>
    <xf numFmtId="165" fontId="0" fillId="8" borderId="1" applyAlignment="1" pivotButton="0" quotePrefix="0" xfId="0">
      <alignment horizontal="left"/>
    </xf>
    <xf numFmtId="0" fontId="0" fillId="8" borderId="1" applyAlignment="1" pivotButton="0" quotePrefix="0" xfId="0">
      <alignment wrapText="1"/>
    </xf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8" fillId="4" borderId="0" applyAlignment="1" pivotButton="0" quotePrefix="0" xfId="0">
      <alignment horizontal="center"/>
    </xf>
    <xf numFmtId="0" fontId="0" fillId="0" borderId="0" pivotButton="0" quotePrefix="0" xfId="0"/>
    <xf numFmtId="0" fontId="10" fillId="7" borderId="0" applyAlignment="1" pivotButton="0" quotePrefix="0" xfId="0">
      <alignment horizontal="center"/>
    </xf>
    <xf numFmtId="164" fontId="9" fillId="5" borderId="1" applyAlignment="1" pivotButton="0" quotePrefix="0" xfId="0">
      <alignment horizontal="center" vertical="center"/>
    </xf>
    <xf numFmtId="0" fontId="0" fillId="0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0" fontId="11" fillId="9" borderId="0" applyAlignment="1" pivotButton="0" quotePrefix="0" xfId="0">
      <alignment horizontal="center"/>
    </xf>
    <xf numFmtId="0" fontId="12" fillId="0" borderId="0" pivotButton="0" quotePrefix="0" xfId="0"/>
    <xf numFmtId="9" fontId="13" fillId="10" borderId="0" applyAlignment="1" pivotButton="0" quotePrefix="0" xfId="0">
      <alignment horizontal="center"/>
    </xf>
    <xf numFmtId="0" fontId="14" fillId="3" borderId="1" pivotButton="0" quotePrefix="0" xfId="0"/>
    <xf numFmtId="166" fontId="0" fillId="3" borderId="1" pivotButton="0" quotePrefix="0" xfId="0"/>
    <xf numFmtId="164" fontId="13" fillId="5" borderId="1" applyAlignment="1" pivotButton="0" quotePrefix="0" xfId="0">
      <alignment horizontal="left"/>
    </xf>
    <xf numFmtId="164" fontId="17" fillId="12" borderId="1" applyAlignment="1" pivotButton="0" quotePrefix="0" xfId="0">
      <alignment horizontal="left"/>
    </xf>
    <xf numFmtId="165" fontId="17" fillId="12" borderId="1" applyAlignment="1" pivotButton="0" quotePrefix="0" xfId="0">
      <alignment horizontal="left"/>
    </xf>
    <xf numFmtId="0" fontId="17" fillId="12" borderId="1" applyAlignment="1" pivotButton="0" quotePrefix="0" xfId="0">
      <alignment wrapText="1"/>
    </xf>
    <xf numFmtId="164" fontId="13" fillId="8" borderId="1" applyAlignment="1" pivotButton="0" quotePrefix="0" xfId="0">
      <alignment horizontal="left"/>
    </xf>
    <xf numFmtId="164" fontId="18" fillId="11" borderId="1" applyAlignment="1" pivotButton="0" quotePrefix="0" xfId="0">
      <alignment horizontal="left"/>
    </xf>
    <xf numFmtId="165" fontId="18" fillId="11" borderId="1" applyAlignment="1" pivotButton="0" quotePrefix="0" xfId="0">
      <alignment horizontal="left"/>
    </xf>
    <xf numFmtId="0" fontId="18" fillId="11" borderId="1" applyAlignment="1" pivotButton="0" quotePrefix="0" xfId="0">
      <alignment wrapText="1"/>
    </xf>
    <xf numFmtId="0" fontId="19" fillId="0" borderId="0" pivotButton="0" quotePrefix="0" xfId="0"/>
    <xf numFmtId="165" fontId="13" fillId="0" borderId="0" pivotButton="0" quotePrefix="0" xfId="0"/>
    <xf numFmtId="165" fontId="0" fillId="0" borderId="0" pivotButton="0" quotePrefix="0" xfId="0"/>
    <xf numFmtId="167" fontId="18" fillId="11" borderId="0" pivotButton="0" quotePrefix="0" xfId="0"/>
    <xf numFmtId="0" fontId="18" fillId="11" borderId="0" pivotButton="0" quotePrefix="0" xfId="0"/>
    <xf numFmtId="0" fontId="20" fillId="11" borderId="0" applyAlignment="1" pivotButton="0" quotePrefix="0" xfId="0">
      <alignment wrapText="1"/>
    </xf>
    <xf numFmtId="0" fontId="11" fillId="9" borderId="0" applyAlignment="1" pivotButton="0" quotePrefix="0" xfId="0">
      <alignment horizontal="center" wrapText="1"/>
    </xf>
    <xf numFmtId="0" fontId="21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5" fillId="11" borderId="0" applyAlignment="1" pivotButton="0" quotePrefix="0" xfId="0">
      <alignment wrapText="1"/>
    </xf>
    <xf numFmtId="0" fontId="16" fillId="5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16" fillId="8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Revenue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'Monthly Analysis'!$B$1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Analysis'!$A$2:$A$13</f>
              <strCache>
                <ptCount val="12"/>
                <pt idx="0">
                  <v>April</v>
                </pt>
                <pt idx="1">
                  <v>May</v>
                </pt>
                <pt idx="2">
                  <v>June</v>
                </pt>
                <pt idx="3">
                  <v>July</v>
                </pt>
                <pt idx="4">
                  <v>August</v>
                </pt>
                <pt idx="5">
                  <v>September</v>
                </pt>
                <pt idx="6">
                  <v>October</v>
                </pt>
                <pt idx="7">
                  <v>November</v>
                </pt>
                <pt idx="8">
                  <v>December</v>
                </pt>
                <pt idx="9">
                  <v>January</v>
                </pt>
                <pt idx="10">
                  <v>February</v>
                </pt>
                <pt idx="11">
                  <v>March</v>
                </pt>
              </strCache>
            </strRef>
          </cat>
          <val>
            <numRef>
              <f>'Monthly Analysis'!$B$2:$B$13</f>
              <numCache>
                <formatCode>0.0</formatCode>
                <ptCount val="12"/>
                <pt idx="0">
                  <v>82</v>
                </pt>
                <pt idx="1">
                  <v>85</v>
                </pt>
                <pt idx="2">
                  <v>88</v>
                </pt>
                <pt idx="3">
                  <v>91</v>
                </pt>
                <pt idx="4">
                  <v>95</v>
                </pt>
                <pt idx="5">
                  <v>98</v>
                </pt>
                <pt idx="6">
                  <v>108</v>
                </pt>
                <pt idx="7">
                  <v>112</v>
                </pt>
                <pt idx="8">
                  <v>105</v>
                </pt>
                <pt idx="9">
                  <v>101</v>
                </pt>
                <pt idx="10">
                  <v>106</v>
                </pt>
                <pt idx="11">
                  <v>118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₹ Lakhs</a:t>
                </a:r>
              </a:p>
            </rich>
          </tx>
          <overlay val="1"/>
        </title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Margin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'Monthly Analysis'!$D$1</f>
              <strCache>
                <ptCount val="1"/>
                <pt idx="0">
                  <v>Gross Margin 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Analysis'!$A$2:$A$13</f>
              <strCache>
                <ptCount val="12"/>
                <pt idx="0">
                  <v>April</v>
                </pt>
                <pt idx="1">
                  <v>May</v>
                </pt>
                <pt idx="2">
                  <v>June</v>
                </pt>
                <pt idx="3">
                  <v>July</v>
                </pt>
                <pt idx="4">
                  <v>August</v>
                </pt>
                <pt idx="5">
                  <v>September</v>
                </pt>
                <pt idx="6">
                  <v>October</v>
                </pt>
                <pt idx="7">
                  <v>November</v>
                </pt>
                <pt idx="8">
                  <v>December</v>
                </pt>
                <pt idx="9">
                  <v>January</v>
                </pt>
                <pt idx="10">
                  <v>February</v>
                </pt>
                <pt idx="11">
                  <v>March</v>
                </pt>
              </strCache>
            </strRef>
          </cat>
          <val>
            <numRef>
              <f>'Monthly Analysis'!$D$2:$D$13</f>
              <numCache>
                <formatCode>0.0%</formatCode>
                <ptCount val="12"/>
                <pt idx="0">
                  <v>0.4268292682926829</v>
                </pt>
                <pt idx="1">
                  <v>0.4352941176470588</v>
                </pt>
                <pt idx="2">
                  <v>0.4431818181818182</v>
                </pt>
                <pt idx="3">
                  <v>0.4395604395604396</v>
                </pt>
                <pt idx="4">
                  <v>0.4526315789473684</v>
                </pt>
                <pt idx="5">
                  <v>0.4489795918367347</v>
                </pt>
                <pt idx="6">
                  <v>0.462962962962963</v>
                </pt>
                <pt idx="7">
                  <v>0.4732142857142857</v>
                </pt>
                <pt idx="8">
                  <v>0.4571428571428571</v>
                </pt>
                <pt idx="9">
                  <v>0.4554455445544555</v>
                </pt>
                <pt idx="10">
                  <v>0.4622641509433962</v>
                </pt>
                <pt idx="11">
                  <v>0.4745762711864407</v>
                </pt>
              </numCache>
            </numRef>
          </val>
          <smooth val="1"/>
        </ser>
        <ser>
          <idx val="1"/>
          <order val="1"/>
          <tx>
            <strRef>
              <f>'Monthly Analysis'!$F$1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Analysis'!$A$2:$A$13</f>
              <strCache>
                <ptCount val="12"/>
                <pt idx="0">
                  <v>April</v>
                </pt>
                <pt idx="1">
                  <v>May</v>
                </pt>
                <pt idx="2">
                  <v>June</v>
                </pt>
                <pt idx="3">
                  <v>July</v>
                </pt>
                <pt idx="4">
                  <v>August</v>
                </pt>
                <pt idx="5">
                  <v>September</v>
                </pt>
                <pt idx="6">
                  <v>October</v>
                </pt>
                <pt idx="7">
                  <v>November</v>
                </pt>
                <pt idx="8">
                  <v>December</v>
                </pt>
                <pt idx="9">
                  <v>January</v>
                </pt>
                <pt idx="10">
                  <v>February</v>
                </pt>
                <pt idx="11">
                  <v>March</v>
                </pt>
              </strCache>
            </strRef>
          </cat>
          <val>
            <numRef>
              <f>'Monthly Analysis'!$F$2:$F$13</f>
              <numCache>
                <formatCode>0.0%</formatCode>
                <ptCount val="12"/>
                <pt idx="0">
                  <v>0.1621951219512195</v>
                </pt>
                <pt idx="1">
                  <v>0.1729411764705882</v>
                </pt>
                <pt idx="2">
                  <v>0.1795454545454546</v>
                </pt>
                <pt idx="3">
                  <v>0.1813186813186813</v>
                </pt>
                <pt idx="4">
                  <v>0.1968421052631579</v>
                </pt>
                <pt idx="5">
                  <v>0.1948979591836735</v>
                </pt>
                <pt idx="6">
                  <v>0.2064814814814815</v>
                </pt>
                <pt idx="7">
                  <v>0.2303571428571429</v>
                </pt>
                <pt idx="8">
                  <v>0.2047619047619048</v>
                </pt>
                <pt idx="9">
                  <v>0.2</v>
                </pt>
                <pt idx="10">
                  <v>0.2113207547169811</v>
                </pt>
                <pt idx="11">
                  <v>0.2389830508474576</v>
                </pt>
              </numCache>
            </numRef>
          </val>
          <smooth val="1"/>
        </ser>
        <ser>
          <idx val="2"/>
          <order val="2"/>
          <tx>
            <strRef>
              <f>'Monthly Analysis'!$H$1</f>
              <strCache>
                <ptCount val="1"/>
                <pt idx="0">
                  <v>Net Profit Margin 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Analysis'!$A$2:$A$13</f>
              <strCache>
                <ptCount val="12"/>
                <pt idx="0">
                  <v>April</v>
                </pt>
                <pt idx="1">
                  <v>May</v>
                </pt>
                <pt idx="2">
                  <v>June</v>
                </pt>
                <pt idx="3">
                  <v>July</v>
                </pt>
                <pt idx="4">
                  <v>August</v>
                </pt>
                <pt idx="5">
                  <v>September</v>
                </pt>
                <pt idx="6">
                  <v>October</v>
                </pt>
                <pt idx="7">
                  <v>November</v>
                </pt>
                <pt idx="8">
                  <v>December</v>
                </pt>
                <pt idx="9">
                  <v>January</v>
                </pt>
                <pt idx="10">
                  <v>February</v>
                </pt>
                <pt idx="11">
                  <v>March</v>
                </pt>
              </strCache>
            </strRef>
          </cat>
          <val>
            <numRef>
              <f>'Monthly Analysis'!$H$2:$H$13</f>
              <numCache>
                <formatCode>0.0%</formatCode>
                <ptCount val="12"/>
                <pt idx="0">
                  <v>0.101219512195122</v>
                </pt>
                <pt idx="1">
                  <v>0.1129411764705882</v>
                </pt>
                <pt idx="2">
                  <v>0.1204545454545455</v>
                </pt>
                <pt idx="3">
                  <v>0.1230769230769231</v>
                </pt>
                <pt idx="4">
                  <v>0.1389473684210527</v>
                </pt>
                <pt idx="5">
                  <v>0.1377551020408163</v>
                </pt>
                <pt idx="6">
                  <v>0.15</v>
                </pt>
                <pt idx="7">
                  <v>0.1741071428571428</v>
                </pt>
                <pt idx="8">
                  <v>0.1476190476190476</v>
                </pt>
                <pt idx="9">
                  <v>0.1425742574257426</v>
                </pt>
                <pt idx="10">
                  <v>0.1547169811320755</v>
                </pt>
                <pt idx="11">
                  <v>0.1838983050847458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Margin %</a:t>
                </a:r>
              </a:p>
            </rich>
          </tx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Budget vs Actual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'Budget Variance'!$B$1</f>
              <strCache>
                <ptCount val="1"/>
                <pt idx="0">
                  <v>Budget (₹ Lakhs)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'Budget Variance'!$A$2:$A$7</f>
              <strCache>
                <ptCount val="6"/>
                <pt idx="0">
                  <v>Revenue</v>
                </pt>
                <pt idx="1">
                  <v>COGS</v>
                </pt>
                <pt idx="2">
                  <v>Gross Profit</v>
                </pt>
                <pt idx="3">
                  <v>Operating Expenses</v>
                </pt>
                <pt idx="4">
                  <v>EBITDA</v>
                </pt>
                <pt idx="5">
                  <v>Net Profit</v>
                </pt>
              </strCache>
            </strRef>
          </cat>
          <val>
            <numRef>
              <f>'Budget Variance'!$B$2:$B$7</f>
              <numCache>
                <formatCode>0.0</formatCode>
                <ptCount val="6"/>
                <pt idx="0">
                  <v>1150</v>
                </pt>
                <pt idx="1">
                  <v>630</v>
                </pt>
                <pt idx="2">
                  <v>520</v>
                </pt>
                <pt idx="3">
                  <v>275</v>
                </pt>
                <pt idx="4">
                  <v>245</v>
                </pt>
                <pt idx="5">
                  <v>145</v>
                </pt>
              </numCache>
            </numRef>
          </val>
        </ser>
        <ser>
          <idx val="1"/>
          <order val="1"/>
          <tx>
            <strRef>
              <f>'Budget Variance'!$C$1</f>
              <strCache>
                <ptCount val="1"/>
                <pt idx="0">
                  <v>Actual (₹ Lakhs)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'Budget Variance'!$A$2:$A$7</f>
              <strCache>
                <ptCount val="6"/>
                <pt idx="0">
                  <v>Revenue</v>
                </pt>
                <pt idx="1">
                  <v>COGS</v>
                </pt>
                <pt idx="2">
                  <v>Gross Profit</v>
                </pt>
                <pt idx="3">
                  <v>Operating Expenses</v>
                </pt>
                <pt idx="4">
                  <v>EBITDA</v>
                </pt>
                <pt idx="5">
                  <v>Net Profit</v>
                </pt>
              </strCache>
            </strRef>
          </cat>
          <val>
            <numRef>
              <f>'Budget Variance'!$C$2:$C$7</f>
              <numCache>
                <formatCode>0.0</formatCode>
                <ptCount val="6"/>
                <pt idx="0">
                  <v>1189</v>
                </pt>
                <pt idx="1">
                  <v>649</v>
                </pt>
                <pt idx="2">
                  <v>540</v>
                </pt>
                <pt idx="3">
                  <v>301.5</v>
                </pt>
                <pt idx="4">
                  <v>238.5</v>
                </pt>
                <pt idx="5">
                  <v>170.1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₹ Lakhs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Metric</a:t>
                </a:r>
              </a:p>
            </rich>
          </tx>
          <overlay val="1"/>
        </title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4"/>
  <sheetViews>
    <sheetView showGridLines="0" zoomScale="90" workbookViewId="0">
      <selection activeCell="A1" sqref="A1"/>
    </sheetView>
  </sheetViews>
  <sheetFormatPr baseColWidth="8" defaultRowHeight="14.5"/>
  <cols>
    <col width="22" customWidth="1" style="39" min="1" max="1"/>
    <col width="24" customWidth="1" style="39" min="2" max="2"/>
    <col width="18" customWidth="1" style="39" min="3" max="8"/>
  </cols>
  <sheetData>
    <row r="1">
      <c r="A1" s="50" t="inlineStr">
        <is>
          <t>FINANCE PERFORMANCE &amp; BUDGET ANALYSIS</t>
        </is>
      </c>
    </row>
    <row r="2"/>
    <row r="4">
      <c r="A4" s="48" t="inlineStr">
        <is>
          <t>Portfolio project | 12-month illustrative dataset | Amounts in ₹ Lakhs</t>
        </is>
      </c>
    </row>
    <row r="6">
      <c r="A6" s="2" t="inlineStr">
        <is>
          <t>Project Objective</t>
        </is>
      </c>
      <c r="B6" s="49" t="inlineStr">
        <is>
          <t>Evaluate revenue, profitability, operating-cost trends and budget performance over a 12-month period.</t>
        </is>
      </c>
    </row>
    <row r="7">
      <c r="A7" s="2" t="inlineStr">
        <is>
          <t>Business Questions</t>
        </is>
      </c>
      <c r="B7" s="49" t="inlineStr">
        <is>
          <t>How did revenue and margins trend? Which months performed strongest/weakest? Did actual results meet budget?</t>
        </is>
      </c>
    </row>
    <row r="8">
      <c r="A8" s="2" t="inlineStr">
        <is>
          <t>Analysis Built</t>
        </is>
      </c>
      <c r="B8" s="49" t="inlineStr">
        <is>
          <t>P&amp;L analysis, gross/EBITDA/net margins, budget-vs-actual variance, monthly KPI analysis and management insights.</t>
        </is>
      </c>
    </row>
    <row r="9">
      <c r="A9" s="2" t="inlineStr">
        <is>
          <t>Excel Skills Demonstrated</t>
        </is>
      </c>
      <c r="B9" s="49" t="inlineStr">
        <is>
          <t>SUM, MAX, MIN, INDEX/MATCH, percentage calculations, linked worksheets, conditional formatting and charts.</t>
        </is>
      </c>
    </row>
    <row r="10">
      <c r="A10" s="2" t="inlineStr">
        <is>
          <t>Dataset Note</t>
        </is>
      </c>
      <c r="B10" s="49" t="inlineStr">
        <is>
          <t>Illustrative/synthetic dataset created for portfolio and learning purposes; it is not company-confidential data.</t>
        </is>
      </c>
    </row>
    <row r="11">
      <c r="A11" s="2" t="inlineStr">
        <is>
          <t>Period</t>
        </is>
      </c>
      <c r="B11" s="49" t="inlineStr">
        <is>
          <t>April–March (12 months)</t>
        </is>
      </c>
    </row>
    <row r="18" ht="17" customHeight="1" s="39">
      <c r="A18" s="3" t="inlineStr">
        <is>
          <t>Workbook Flow</t>
        </is>
      </c>
    </row>
    <row r="19">
      <c r="A19" s="4" t="n">
        <v>1</v>
      </c>
      <c r="B19" t="inlineStr">
        <is>
          <t>Raw Data</t>
        </is>
      </c>
    </row>
    <row r="20">
      <c r="A20" s="4" t="n">
        <v>2</v>
      </c>
      <c r="B20" t="inlineStr">
        <is>
          <t>P&amp;L Analysis</t>
        </is>
      </c>
    </row>
    <row r="21">
      <c r="A21" s="4" t="n">
        <v>3</v>
      </c>
      <c r="B21" t="inlineStr">
        <is>
          <t>Budget Variance</t>
        </is>
      </c>
    </row>
    <row r="22">
      <c r="A22" s="4" t="n">
        <v>4</v>
      </c>
      <c r="B22" t="inlineStr">
        <is>
          <t>Monthly Analysis</t>
        </is>
      </c>
    </row>
    <row r="23">
      <c r="A23" s="4" t="n">
        <v>5</v>
      </c>
      <c r="B23" t="inlineStr">
        <is>
          <t>Management Insights</t>
        </is>
      </c>
    </row>
    <row r="24">
      <c r="A24" s="4" t="n">
        <v>6</v>
      </c>
      <c r="B24" t="inlineStr">
        <is>
          <t>Dashboard</t>
        </is>
      </c>
    </row>
  </sheetData>
  <mergeCells count="14">
    <mergeCell ref="A4:H4"/>
    <mergeCell ref="B8:H8"/>
    <mergeCell ref="B19:D19"/>
    <mergeCell ref="B9:H9"/>
    <mergeCell ref="B23:D23"/>
    <mergeCell ref="B22:D22"/>
    <mergeCell ref="B6:H6"/>
    <mergeCell ref="B21:D21"/>
    <mergeCell ref="B7:H7"/>
    <mergeCell ref="B10:H10"/>
    <mergeCell ref="B11:H11"/>
    <mergeCell ref="A1:H2"/>
    <mergeCell ref="B24:D24"/>
    <mergeCell ref="B20:D20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>
  <sheetPr>
    <tabColor rgb="002F7E79"/>
    <outlinePr summaryBelow="1" summaryRight="1"/>
    <pageSetUpPr fitToPage="1"/>
  </sheetPr>
  <dimension ref="A1:K15"/>
  <sheetViews>
    <sheetView showGridLines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B2:B13"/>
    </sheetView>
  </sheetViews>
  <sheetFormatPr baseColWidth="8" defaultRowHeight="14.5"/>
  <cols>
    <col width="12" bestFit="1" customWidth="1" style="39" min="1" max="1"/>
    <col width="18" bestFit="1" customWidth="1" style="39" min="2" max="2"/>
    <col width="12" bestFit="1" customWidth="1" style="39" min="3" max="8"/>
    <col width="14" bestFit="1" customWidth="1" style="39" min="9" max="9"/>
    <col width="12" bestFit="1" customWidth="1" style="39" min="10" max="11"/>
  </cols>
  <sheetData>
    <row r="1" ht="29" customHeight="1" s="39">
      <c r="A1" s="7" t="inlineStr">
        <is>
          <t>Month</t>
        </is>
      </c>
      <c r="B1" s="7" t="inlineStr">
        <is>
          <t>Revenue</t>
        </is>
      </c>
      <c r="C1" s="7" t="inlineStr">
        <is>
          <t>COGS</t>
        </is>
      </c>
      <c r="D1" s="7" t="inlineStr">
        <is>
          <t>Salaries</t>
        </is>
      </c>
      <c r="E1" s="7" t="inlineStr">
        <is>
          <t>Marketing</t>
        </is>
      </c>
      <c r="F1" s="7" t="inlineStr">
        <is>
          <t>Rent</t>
        </is>
      </c>
      <c r="G1" s="7" t="inlineStr">
        <is>
          <t>Utilities</t>
        </is>
      </c>
      <c r="H1" s="7" t="inlineStr">
        <is>
          <t>Other Opex</t>
        </is>
      </c>
      <c r="I1" s="7" t="inlineStr">
        <is>
          <t>Depreciation</t>
        </is>
      </c>
      <c r="J1" s="7" t="inlineStr">
        <is>
          <t>Interest</t>
        </is>
      </c>
      <c r="K1" s="7" t="inlineStr">
        <is>
          <t>Tax</t>
        </is>
      </c>
    </row>
    <row r="2">
      <c r="A2" s="44" t="inlineStr">
        <is>
          <t>April</t>
        </is>
      </c>
      <c r="B2" s="8" t="n">
        <v>82</v>
      </c>
      <c r="C2" s="8" t="n">
        <v>47</v>
      </c>
      <c r="D2" s="8" t="n">
        <v>10</v>
      </c>
      <c r="E2" s="8" t="n">
        <v>5</v>
      </c>
      <c r="F2" s="8" t="n">
        <v>3</v>
      </c>
      <c r="G2" s="8" t="n">
        <v>1.2</v>
      </c>
      <c r="H2" s="8" t="n">
        <v>2.5</v>
      </c>
      <c r="I2" s="8" t="n">
        <v>1.5</v>
      </c>
      <c r="J2" s="8" t="n">
        <v>1</v>
      </c>
      <c r="K2" s="8" t="n">
        <v>2.5</v>
      </c>
    </row>
    <row r="3">
      <c r="A3" s="9" t="inlineStr">
        <is>
          <t>May</t>
        </is>
      </c>
      <c r="B3" s="10" t="n">
        <v>85</v>
      </c>
      <c r="C3" s="10" t="n">
        <v>48</v>
      </c>
      <c r="D3" s="10" t="n">
        <v>10</v>
      </c>
      <c r="E3" s="10" t="n">
        <v>5.5</v>
      </c>
      <c r="F3" s="10" t="n">
        <v>3</v>
      </c>
      <c r="G3" s="10" t="n">
        <v>1.2</v>
      </c>
      <c r="H3" s="10" t="n">
        <v>2.6</v>
      </c>
      <c r="I3" s="10" t="n">
        <v>1.5</v>
      </c>
      <c r="J3" s="10" t="n">
        <v>1</v>
      </c>
      <c r="K3" s="10" t="n">
        <v>2.6</v>
      </c>
    </row>
    <row r="4">
      <c r="A4" s="44" t="inlineStr">
        <is>
          <t>June</t>
        </is>
      </c>
      <c r="B4" s="8" t="n">
        <v>88</v>
      </c>
      <c r="C4" s="8" t="n">
        <v>49</v>
      </c>
      <c r="D4" s="8" t="n">
        <v>10.2</v>
      </c>
      <c r="E4" s="8" t="n">
        <v>6</v>
      </c>
      <c r="F4" s="8" t="n">
        <v>3</v>
      </c>
      <c r="G4" s="8" t="n">
        <v>1.3</v>
      </c>
      <c r="H4" s="8" t="n">
        <v>2.7</v>
      </c>
      <c r="I4" s="8" t="n">
        <v>1.5</v>
      </c>
      <c r="J4" s="8" t="n">
        <v>1</v>
      </c>
      <c r="K4" s="8" t="n">
        <v>2.7</v>
      </c>
    </row>
    <row r="5">
      <c r="A5" s="9" t="inlineStr">
        <is>
          <t>July</t>
        </is>
      </c>
      <c r="B5" s="10" t="n">
        <v>91</v>
      </c>
      <c r="C5" s="10" t="n">
        <v>51</v>
      </c>
      <c r="D5" s="10" t="n">
        <v>10.2</v>
      </c>
      <c r="E5" s="10" t="n">
        <v>6.2</v>
      </c>
      <c r="F5" s="10" t="n">
        <v>3</v>
      </c>
      <c r="G5" s="10" t="n">
        <v>1.3</v>
      </c>
      <c r="H5" s="10" t="n">
        <v>2.8</v>
      </c>
      <c r="I5" s="10" t="n">
        <v>1.5</v>
      </c>
      <c r="J5" s="10" t="n">
        <v>1</v>
      </c>
      <c r="K5" s="10" t="n">
        <v>2.8</v>
      </c>
    </row>
    <row r="6">
      <c r="A6" s="44" t="inlineStr">
        <is>
          <t>August</t>
        </is>
      </c>
      <c r="B6" s="8" t="n">
        <v>95</v>
      </c>
      <c r="C6" s="8" t="n">
        <v>52</v>
      </c>
      <c r="D6" s="8" t="n">
        <v>10.5</v>
      </c>
      <c r="E6" s="8" t="n">
        <v>6.5</v>
      </c>
      <c r="F6" s="8" t="n">
        <v>3</v>
      </c>
      <c r="G6" s="8" t="n">
        <v>1.4</v>
      </c>
      <c r="H6" s="8" t="n">
        <v>2.9</v>
      </c>
      <c r="I6" s="8" t="n">
        <v>1.5</v>
      </c>
      <c r="J6" s="8" t="n">
        <v>1</v>
      </c>
      <c r="K6" s="8" t="n">
        <v>3</v>
      </c>
    </row>
    <row r="7">
      <c r="A7" s="9" t="inlineStr">
        <is>
          <t>September</t>
        </is>
      </c>
      <c r="B7" s="10" t="n">
        <v>98</v>
      </c>
      <c r="C7" s="10" t="n">
        <v>54</v>
      </c>
      <c r="D7" s="10" t="n">
        <v>10.5</v>
      </c>
      <c r="E7" s="10" t="n">
        <v>7</v>
      </c>
      <c r="F7" s="10" t="n">
        <v>3</v>
      </c>
      <c r="G7" s="10" t="n">
        <v>1.4</v>
      </c>
      <c r="H7" s="10" t="n">
        <v>3</v>
      </c>
      <c r="I7" s="10" t="n">
        <v>1.5</v>
      </c>
      <c r="J7" s="10" t="n">
        <v>1</v>
      </c>
      <c r="K7" s="10" t="n">
        <v>3.1</v>
      </c>
    </row>
    <row r="8">
      <c r="A8" s="44" t="inlineStr">
        <is>
          <t>October</t>
        </is>
      </c>
      <c r="B8" s="8" t="n">
        <v>108</v>
      </c>
      <c r="C8" s="8" t="n">
        <v>58</v>
      </c>
      <c r="D8" s="8" t="n">
        <v>10.8</v>
      </c>
      <c r="E8" s="8" t="n">
        <v>9</v>
      </c>
      <c r="F8" s="8" t="n">
        <v>3.2</v>
      </c>
      <c r="G8" s="8" t="n">
        <v>1.5</v>
      </c>
      <c r="H8" s="8" t="n">
        <v>3.2</v>
      </c>
      <c r="I8" s="8" t="n">
        <v>1.5</v>
      </c>
      <c r="J8" s="8" t="n">
        <v>1.1</v>
      </c>
      <c r="K8" s="8" t="n">
        <v>3.5</v>
      </c>
    </row>
    <row r="9">
      <c r="A9" s="9" t="inlineStr">
        <is>
          <t>November</t>
        </is>
      </c>
      <c r="B9" s="10" t="n">
        <v>112</v>
      </c>
      <c r="C9" s="10" t="n">
        <v>59</v>
      </c>
      <c r="D9" s="10" t="n">
        <v>10.8</v>
      </c>
      <c r="E9" s="10" t="n">
        <v>8.5</v>
      </c>
      <c r="F9" s="10" t="n">
        <v>3.2</v>
      </c>
      <c r="G9" s="10" t="n">
        <v>1.5</v>
      </c>
      <c r="H9" s="10" t="n">
        <v>3.2</v>
      </c>
      <c r="I9" s="10" t="n">
        <v>1.5</v>
      </c>
      <c r="J9" s="10" t="n">
        <v>1.1</v>
      </c>
      <c r="K9" s="10" t="n">
        <v>3.7</v>
      </c>
    </row>
    <row r="10">
      <c r="A10" s="44" t="inlineStr">
        <is>
          <t>December</t>
        </is>
      </c>
      <c r="B10" s="8" t="n">
        <v>105</v>
      </c>
      <c r="C10" s="8" t="n">
        <v>57</v>
      </c>
      <c r="D10" s="8" t="n">
        <v>11</v>
      </c>
      <c r="E10" s="8" t="n">
        <v>7.5</v>
      </c>
      <c r="F10" s="8" t="n">
        <v>3.2</v>
      </c>
      <c r="G10" s="8" t="n">
        <v>1.5</v>
      </c>
      <c r="H10" s="8" t="n">
        <v>3.3</v>
      </c>
      <c r="I10" s="8" t="n">
        <v>1.5</v>
      </c>
      <c r="J10" s="8" t="n">
        <v>1.1</v>
      </c>
      <c r="K10" s="8" t="n">
        <v>3.4</v>
      </c>
    </row>
    <row r="11">
      <c r="A11" s="9" t="inlineStr">
        <is>
          <t>January</t>
        </is>
      </c>
      <c r="B11" s="10" t="n">
        <v>101</v>
      </c>
      <c r="C11" s="10" t="n">
        <v>55</v>
      </c>
      <c r="D11" s="10" t="n">
        <v>11</v>
      </c>
      <c r="E11" s="10" t="n">
        <v>6.8</v>
      </c>
      <c r="F11" s="10" t="n">
        <v>3.2</v>
      </c>
      <c r="G11" s="10" t="n">
        <v>1.5</v>
      </c>
      <c r="H11" s="10" t="n">
        <v>3.3</v>
      </c>
      <c r="I11" s="10" t="n">
        <v>1.5</v>
      </c>
      <c r="J11" s="10" t="n">
        <v>1.1</v>
      </c>
      <c r="K11" s="10" t="n">
        <v>3.2</v>
      </c>
    </row>
    <row r="12">
      <c r="A12" s="44" t="inlineStr">
        <is>
          <t>February</t>
        </is>
      </c>
      <c r="B12" s="8" t="n">
        <v>106</v>
      </c>
      <c r="C12" s="8" t="n">
        <v>57</v>
      </c>
      <c r="D12" s="8" t="n">
        <v>11.2</v>
      </c>
      <c r="E12" s="8" t="n">
        <v>7.2</v>
      </c>
      <c r="F12" s="8" t="n">
        <v>3.2</v>
      </c>
      <c r="G12" s="8" t="n">
        <v>1.6</v>
      </c>
      <c r="H12" s="8" t="n">
        <v>3.4</v>
      </c>
      <c r="I12" s="8" t="n">
        <v>1.5</v>
      </c>
      <c r="J12" s="8" t="n">
        <v>1.1</v>
      </c>
      <c r="K12" s="8" t="n">
        <v>3.4</v>
      </c>
    </row>
    <row r="13">
      <c r="A13" s="9" t="inlineStr">
        <is>
          <t>March</t>
        </is>
      </c>
      <c r="B13" s="10" t="n">
        <v>118</v>
      </c>
      <c r="C13" s="10" t="n">
        <v>62</v>
      </c>
      <c r="D13" s="10" t="n">
        <v>11.5</v>
      </c>
      <c r="E13" s="10" t="n">
        <v>8</v>
      </c>
      <c r="F13" s="10" t="n">
        <v>3.2</v>
      </c>
      <c r="G13" s="10" t="n">
        <v>1.6</v>
      </c>
      <c r="H13" s="10" t="n">
        <v>3.5</v>
      </c>
      <c r="I13" s="10" t="n">
        <v>1.5</v>
      </c>
      <c r="J13" s="10" t="n">
        <v>1.1</v>
      </c>
      <c r="K13" s="10" t="n">
        <v>3.9</v>
      </c>
    </row>
    <row r="15">
      <c r="A15" s="11" t="inlineStr">
        <is>
          <t>Note:</t>
        </is>
      </c>
      <c r="B15" s="12" t="inlineStr">
        <is>
          <t>Illustrative dataset; all financial amounts are in ₹ Lakhs.</t>
        </is>
      </c>
    </row>
  </sheetData>
  <autoFilter ref="A1:K13"/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Q20"/>
  <sheetViews>
    <sheetView showGridLines="0" tabSelected="1" zoomScale="90" workbookViewId="0">
      <pane xSplit="1" ySplit="1" topLeftCell="B2" activePane="bottomRight" state="frozen"/>
      <selection activeCell="A1" sqref="A1:L2"/>
      <selection pane="topRight" activeCell="A1" sqref="A1:L2"/>
      <selection pane="bottomLeft" activeCell="A1" sqref="A1:L2"/>
      <selection pane="bottomRight" activeCell="A1" sqref="A1:L2"/>
    </sheetView>
  </sheetViews>
  <sheetFormatPr baseColWidth="8" defaultRowHeight="14.5"/>
  <cols>
    <col width="25" bestFit="1" customWidth="1" style="39" min="1" max="1"/>
    <col width="12" customWidth="1" style="39" min="2" max="13"/>
  </cols>
  <sheetData>
    <row r="1">
      <c r="A1" s="7" t="n"/>
      <c r="B1" s="7" t="inlineStr">
        <is>
          <t>April</t>
        </is>
      </c>
      <c r="C1" s="7" t="inlineStr">
        <is>
          <t>May</t>
        </is>
      </c>
      <c r="D1" s="7" t="inlineStr">
        <is>
          <t>June</t>
        </is>
      </c>
      <c r="E1" s="7" t="inlineStr">
        <is>
          <t>July</t>
        </is>
      </c>
      <c r="F1" s="7" t="inlineStr">
        <is>
          <t>August</t>
        </is>
      </c>
      <c r="G1" s="7" t="inlineStr">
        <is>
          <t>September</t>
        </is>
      </c>
      <c r="H1" s="7" t="inlineStr">
        <is>
          <t>October</t>
        </is>
      </c>
      <c r="I1" s="7" t="inlineStr">
        <is>
          <t>November</t>
        </is>
      </c>
      <c r="J1" s="7" t="inlineStr">
        <is>
          <t>December</t>
        </is>
      </c>
      <c r="K1" s="7" t="inlineStr">
        <is>
          <t>January</t>
        </is>
      </c>
      <c r="L1" s="7" t="inlineStr">
        <is>
          <t>February</t>
        </is>
      </c>
      <c r="M1" s="7" t="inlineStr">
        <is>
          <t>March</t>
        </is>
      </c>
      <c r="P1" s="53" t="inlineStr">
        <is>
          <t>Assumptions</t>
        </is>
      </c>
    </row>
    <row r="2">
      <c r="A2" s="42" t="inlineStr">
        <is>
          <t>Revenue</t>
        </is>
      </c>
      <c r="B2" s="13">
        <f>'Raw Data'!B2</f>
        <v/>
      </c>
      <c r="C2" s="13">
        <f>'Raw Data'!B3</f>
        <v/>
      </c>
      <c r="D2" s="13">
        <f>'Raw Data'!B4</f>
        <v/>
      </c>
      <c r="E2" s="13">
        <f>'Raw Data'!B5</f>
        <v/>
      </c>
      <c r="F2" s="13">
        <f>'Raw Data'!B6</f>
        <v/>
      </c>
      <c r="G2" s="13">
        <f>'Raw Data'!B7</f>
        <v/>
      </c>
      <c r="H2" s="13">
        <f>'Raw Data'!B8</f>
        <v/>
      </c>
      <c r="I2" s="13">
        <f>'Raw Data'!B9</f>
        <v/>
      </c>
      <c r="J2" s="13">
        <f>'Raw Data'!B10</f>
        <v/>
      </c>
      <c r="K2" s="13">
        <f>'Raw Data'!B11</f>
        <v/>
      </c>
      <c r="L2" s="13">
        <f>'Raw Data'!B12</f>
        <v/>
      </c>
      <c r="M2" s="13">
        <f>'Raw Data'!B13</f>
        <v/>
      </c>
      <c r="P2" s="54" t="inlineStr">
        <is>
          <t>Corporate Tax Rate</t>
        </is>
      </c>
      <c r="Q2" s="55" t="n">
        <v>0.2</v>
      </c>
    </row>
    <row r="3">
      <c r="A3" s="42" t="inlineStr">
        <is>
          <t>COGS</t>
        </is>
      </c>
      <c r="B3" s="13">
        <f>'Raw Data'!C2</f>
        <v/>
      </c>
      <c r="C3" s="13">
        <f>'Raw Data'!C3</f>
        <v/>
      </c>
      <c r="D3" s="13">
        <f>'Raw Data'!C4</f>
        <v/>
      </c>
      <c r="E3" s="13">
        <f>'Raw Data'!C5</f>
        <v/>
      </c>
      <c r="F3" s="13">
        <f>'Raw Data'!C6</f>
        <v/>
      </c>
      <c r="G3" s="13">
        <f>'Raw Data'!C7</f>
        <v/>
      </c>
      <c r="H3" s="13">
        <f>'Raw Data'!C8</f>
        <v/>
      </c>
      <c r="I3" s="13">
        <f>'Raw Data'!C9</f>
        <v/>
      </c>
      <c r="J3" s="13">
        <f>'Raw Data'!C10</f>
        <v/>
      </c>
      <c r="K3" s="13">
        <f>'Raw Data'!C11</f>
        <v/>
      </c>
      <c r="L3" s="13">
        <f>'Raw Data'!C12</f>
        <v/>
      </c>
      <c r="M3" s="13">
        <f>'Raw Data'!C13</f>
        <v/>
      </c>
    </row>
    <row r="4">
      <c r="A4" s="14" t="inlineStr">
        <is>
          <t>Gross Profit</t>
        </is>
      </c>
      <c r="B4" s="15">
        <f>B2-B3</f>
        <v/>
      </c>
      <c r="C4" s="15">
        <f>C2-C3</f>
        <v/>
      </c>
      <c r="D4" s="15">
        <f>D2-D3</f>
        <v/>
      </c>
      <c r="E4" s="15">
        <f>E2-E3</f>
        <v/>
      </c>
      <c r="F4" s="15">
        <f>F2-F3</f>
        <v/>
      </c>
      <c r="G4" s="15">
        <f>G2-G3</f>
        <v/>
      </c>
      <c r="H4" s="15">
        <f>H2-H3</f>
        <v/>
      </c>
      <c r="I4" s="15">
        <f>I2-I3</f>
        <v/>
      </c>
      <c r="J4" s="15">
        <f>J2-J3</f>
        <v/>
      </c>
      <c r="K4" s="15">
        <f>K2-K3</f>
        <v/>
      </c>
      <c r="L4" s="15">
        <f>L2-L3</f>
        <v/>
      </c>
      <c r="M4" s="15">
        <f>M2-M3</f>
        <v/>
      </c>
    </row>
    <row r="5">
      <c r="A5" s="14" t="inlineStr">
        <is>
          <t>Gross Margin %</t>
        </is>
      </c>
      <c r="B5" s="16">
        <f>B4/B2</f>
        <v/>
      </c>
      <c r="C5" s="16">
        <f>C4/C2</f>
        <v/>
      </c>
      <c r="D5" s="16">
        <f>D4/D2</f>
        <v/>
      </c>
      <c r="E5" s="16">
        <f>E4/E2</f>
        <v/>
      </c>
      <c r="F5" s="16">
        <f>F4/F2</f>
        <v/>
      </c>
      <c r="G5" s="16">
        <f>G4/G2</f>
        <v/>
      </c>
      <c r="H5" s="16">
        <f>H4/H2</f>
        <v/>
      </c>
      <c r="I5" s="16">
        <f>I4/I2</f>
        <v/>
      </c>
      <c r="J5" s="16">
        <f>J4/J2</f>
        <v/>
      </c>
      <c r="K5" s="16">
        <f>K4/K2</f>
        <v/>
      </c>
      <c r="L5" s="16">
        <f>L4/L2</f>
        <v/>
      </c>
      <c r="M5" s="16">
        <f>M4/M2</f>
        <v/>
      </c>
    </row>
    <row r="6">
      <c r="A6" s="42" t="inlineStr">
        <is>
          <t>Salaries</t>
        </is>
      </c>
      <c r="B6" s="13">
        <f>'Raw Data'!D2</f>
        <v/>
      </c>
      <c r="C6" s="13">
        <f>'Raw Data'!D3</f>
        <v/>
      </c>
      <c r="D6" s="13">
        <f>'Raw Data'!D4</f>
        <v/>
      </c>
      <c r="E6" s="13">
        <f>'Raw Data'!D5</f>
        <v/>
      </c>
      <c r="F6" s="13">
        <f>'Raw Data'!D6</f>
        <v/>
      </c>
      <c r="G6" s="13">
        <f>'Raw Data'!D7</f>
        <v/>
      </c>
      <c r="H6" s="13">
        <f>'Raw Data'!D8</f>
        <v/>
      </c>
      <c r="I6" s="13">
        <f>'Raw Data'!D9</f>
        <v/>
      </c>
      <c r="J6" s="13">
        <f>'Raw Data'!D10</f>
        <v/>
      </c>
      <c r="K6" s="13">
        <f>'Raw Data'!D11</f>
        <v/>
      </c>
      <c r="L6" s="13">
        <f>'Raw Data'!D12</f>
        <v/>
      </c>
      <c r="M6" s="13">
        <f>'Raw Data'!D13</f>
        <v/>
      </c>
    </row>
    <row r="7">
      <c r="A7" s="42" t="inlineStr">
        <is>
          <t>Marketing</t>
        </is>
      </c>
      <c r="B7" s="13">
        <f>'Raw Data'!E2</f>
        <v/>
      </c>
      <c r="C7" s="13">
        <f>'Raw Data'!E3</f>
        <v/>
      </c>
      <c r="D7" s="13">
        <f>'Raw Data'!E4</f>
        <v/>
      </c>
      <c r="E7" s="13">
        <f>'Raw Data'!E5</f>
        <v/>
      </c>
      <c r="F7" s="13">
        <f>'Raw Data'!E6</f>
        <v/>
      </c>
      <c r="G7" s="13">
        <f>'Raw Data'!E7</f>
        <v/>
      </c>
      <c r="H7" s="13">
        <f>'Raw Data'!E8</f>
        <v/>
      </c>
      <c r="I7" s="13">
        <f>'Raw Data'!E9</f>
        <v/>
      </c>
      <c r="J7" s="13">
        <f>'Raw Data'!E10</f>
        <v/>
      </c>
      <c r="K7" s="13">
        <f>'Raw Data'!E11</f>
        <v/>
      </c>
      <c r="L7" s="13">
        <f>'Raw Data'!E12</f>
        <v/>
      </c>
      <c r="M7" s="13">
        <f>'Raw Data'!E13</f>
        <v/>
      </c>
    </row>
    <row r="8">
      <c r="A8" s="42" t="inlineStr">
        <is>
          <t>Rent</t>
        </is>
      </c>
      <c r="B8" s="13">
        <f>'Raw Data'!F2</f>
        <v/>
      </c>
      <c r="C8" s="13">
        <f>'Raw Data'!F3</f>
        <v/>
      </c>
      <c r="D8" s="13">
        <f>'Raw Data'!F4</f>
        <v/>
      </c>
      <c r="E8" s="13">
        <f>'Raw Data'!F5</f>
        <v/>
      </c>
      <c r="F8" s="13">
        <f>'Raw Data'!F6</f>
        <v/>
      </c>
      <c r="G8" s="13">
        <f>'Raw Data'!F7</f>
        <v/>
      </c>
      <c r="H8" s="13">
        <f>'Raw Data'!F8</f>
        <v/>
      </c>
      <c r="I8" s="13">
        <f>'Raw Data'!F9</f>
        <v/>
      </c>
      <c r="J8" s="13">
        <f>'Raw Data'!F10</f>
        <v/>
      </c>
      <c r="K8" s="13">
        <f>'Raw Data'!F11</f>
        <v/>
      </c>
      <c r="L8" s="13">
        <f>'Raw Data'!F12</f>
        <v/>
      </c>
      <c r="M8" s="13">
        <f>'Raw Data'!F13</f>
        <v/>
      </c>
    </row>
    <row r="9">
      <c r="A9" s="42" t="inlineStr">
        <is>
          <t>Utilities</t>
        </is>
      </c>
      <c r="B9" s="13">
        <f>'Raw Data'!G2</f>
        <v/>
      </c>
      <c r="C9" s="13">
        <f>'Raw Data'!G3</f>
        <v/>
      </c>
      <c r="D9" s="13">
        <f>'Raw Data'!G4</f>
        <v/>
      </c>
      <c r="E9" s="13">
        <f>'Raw Data'!G5</f>
        <v/>
      </c>
      <c r="F9" s="13">
        <f>'Raw Data'!G6</f>
        <v/>
      </c>
      <c r="G9" s="13">
        <f>'Raw Data'!G7</f>
        <v/>
      </c>
      <c r="H9" s="13">
        <f>'Raw Data'!G8</f>
        <v/>
      </c>
      <c r="I9" s="13">
        <f>'Raw Data'!G9</f>
        <v/>
      </c>
      <c r="J9" s="13">
        <f>'Raw Data'!G10</f>
        <v/>
      </c>
      <c r="K9" s="13">
        <f>'Raw Data'!G11</f>
        <v/>
      </c>
      <c r="L9" s="13">
        <f>'Raw Data'!G12</f>
        <v/>
      </c>
      <c r="M9" s="13">
        <f>'Raw Data'!G13</f>
        <v/>
      </c>
    </row>
    <row r="10">
      <c r="A10" s="42" t="inlineStr">
        <is>
          <t>Other Operating Expenses</t>
        </is>
      </c>
      <c r="B10" s="13">
        <f>'Raw Data'!H2</f>
        <v/>
      </c>
      <c r="C10" s="13">
        <f>'Raw Data'!H3</f>
        <v/>
      </c>
      <c r="D10" s="13">
        <f>'Raw Data'!H4</f>
        <v/>
      </c>
      <c r="E10" s="13">
        <f>'Raw Data'!H5</f>
        <v/>
      </c>
      <c r="F10" s="13">
        <f>'Raw Data'!H6</f>
        <v/>
      </c>
      <c r="G10" s="13">
        <f>'Raw Data'!H7</f>
        <v/>
      </c>
      <c r="H10" s="13">
        <f>'Raw Data'!H8</f>
        <v/>
      </c>
      <c r="I10" s="13">
        <f>'Raw Data'!H9</f>
        <v/>
      </c>
      <c r="J10" s="13">
        <f>'Raw Data'!H10</f>
        <v/>
      </c>
      <c r="K10" s="13">
        <f>'Raw Data'!H11</f>
        <v/>
      </c>
      <c r="L10" s="13">
        <f>'Raw Data'!H12</f>
        <v/>
      </c>
      <c r="M10" s="13">
        <f>'Raw Data'!H13</f>
        <v/>
      </c>
    </row>
    <row r="11">
      <c r="A11" s="14" t="inlineStr">
        <is>
          <t>Total Operating Expenses</t>
        </is>
      </c>
      <c r="B11" s="15">
        <f>SUM(B6:B10)</f>
        <v/>
      </c>
      <c r="C11" s="15">
        <f>SUM(C6:C10)</f>
        <v/>
      </c>
      <c r="D11" s="15">
        <f>SUM(D6:D10)</f>
        <v/>
      </c>
      <c r="E11" s="15">
        <f>SUM(E6:E10)</f>
        <v/>
      </c>
      <c r="F11" s="15">
        <f>SUM(F6:F10)</f>
        <v/>
      </c>
      <c r="G11" s="15">
        <f>SUM(G6:G10)</f>
        <v/>
      </c>
      <c r="H11" s="15">
        <f>SUM(H6:H10)</f>
        <v/>
      </c>
      <c r="I11" s="15">
        <f>SUM(I6:I10)</f>
        <v/>
      </c>
      <c r="J11" s="15">
        <f>SUM(J6:J10)</f>
        <v/>
      </c>
      <c r="K11" s="15">
        <f>SUM(K6:K10)</f>
        <v/>
      </c>
      <c r="L11" s="15">
        <f>SUM(L6:L10)</f>
        <v/>
      </c>
      <c r="M11" s="15">
        <f>SUM(M6:M10)</f>
        <v/>
      </c>
    </row>
    <row r="12">
      <c r="A12" s="17" t="inlineStr">
        <is>
          <t>EBITDA</t>
        </is>
      </c>
      <c r="B12" s="18">
        <f>B4-B11</f>
        <v/>
      </c>
      <c r="C12" s="18">
        <f>C4-C11</f>
        <v/>
      </c>
      <c r="D12" s="18">
        <f>D4-D11</f>
        <v/>
      </c>
      <c r="E12" s="18">
        <f>E4-E11</f>
        <v/>
      </c>
      <c r="F12" s="18">
        <f>F4-F11</f>
        <v/>
      </c>
      <c r="G12" s="18">
        <f>G4-G11</f>
        <v/>
      </c>
      <c r="H12" s="18">
        <f>H4-H11</f>
        <v/>
      </c>
      <c r="I12" s="18">
        <f>I4-I11</f>
        <v/>
      </c>
      <c r="J12" s="18">
        <f>J4-J11</f>
        <v/>
      </c>
      <c r="K12" s="18">
        <f>K4-K11</f>
        <v/>
      </c>
      <c r="L12" s="18">
        <f>L4-L11</f>
        <v/>
      </c>
      <c r="M12" s="18">
        <f>M4-M11</f>
        <v/>
      </c>
    </row>
    <row r="13">
      <c r="A13" s="42" t="inlineStr">
        <is>
          <t>EBITDA Margin %</t>
        </is>
      </c>
      <c r="B13" s="19">
        <f>B12/B2</f>
        <v/>
      </c>
      <c r="C13" s="19">
        <f>C12/C2</f>
        <v/>
      </c>
      <c r="D13" s="19">
        <f>D12/D2</f>
        <v/>
      </c>
      <c r="E13" s="19">
        <f>E12/E2</f>
        <v/>
      </c>
      <c r="F13" s="19">
        <f>F12/F2</f>
        <v/>
      </c>
      <c r="G13" s="19">
        <f>G12/G2</f>
        <v/>
      </c>
      <c r="H13" s="19">
        <f>H12/H2</f>
        <v/>
      </c>
      <c r="I13" s="19">
        <f>I12/I2</f>
        <v/>
      </c>
      <c r="J13" s="19">
        <f>J12/J2</f>
        <v/>
      </c>
      <c r="K13" s="19">
        <f>K12/K2</f>
        <v/>
      </c>
      <c r="L13" s="19">
        <f>L12/L2</f>
        <v/>
      </c>
      <c r="M13" s="19">
        <f>M12/M2</f>
        <v/>
      </c>
    </row>
    <row r="14">
      <c r="A14" s="14" t="inlineStr">
        <is>
          <t>Depreciation</t>
        </is>
      </c>
      <c r="B14" s="15">
        <f>'Raw Data'!I2</f>
        <v/>
      </c>
      <c r="C14" s="15">
        <f>'Raw Data'!I3</f>
        <v/>
      </c>
      <c r="D14" s="15">
        <f>'Raw Data'!I4</f>
        <v/>
      </c>
      <c r="E14" s="15">
        <f>'Raw Data'!I5</f>
        <v/>
      </c>
      <c r="F14" s="15">
        <f>'Raw Data'!I6</f>
        <v/>
      </c>
      <c r="G14" s="15">
        <f>'Raw Data'!I7</f>
        <v/>
      </c>
      <c r="H14" s="15">
        <f>'Raw Data'!I8</f>
        <v/>
      </c>
      <c r="I14" s="15">
        <f>'Raw Data'!I9</f>
        <v/>
      </c>
      <c r="J14" s="15">
        <f>'Raw Data'!I10</f>
        <v/>
      </c>
      <c r="K14" s="15">
        <f>'Raw Data'!I11</f>
        <v/>
      </c>
      <c r="L14" s="15">
        <f>'Raw Data'!I12</f>
        <v/>
      </c>
      <c r="M14" s="15">
        <f>'Raw Data'!I13</f>
        <v/>
      </c>
    </row>
    <row r="15">
      <c r="A15" s="42" t="inlineStr">
        <is>
          <t>EBIT</t>
        </is>
      </c>
      <c r="B15" s="13">
        <f>B12-B14</f>
        <v/>
      </c>
      <c r="C15" s="13">
        <f>C12-C14</f>
        <v/>
      </c>
      <c r="D15" s="13">
        <f>D12-D14</f>
        <v/>
      </c>
      <c r="E15" s="13">
        <f>E12-E14</f>
        <v/>
      </c>
      <c r="F15" s="13">
        <f>F12-F14</f>
        <v/>
      </c>
      <c r="G15" s="13">
        <f>G12-G14</f>
        <v/>
      </c>
      <c r="H15" s="13">
        <f>H12-H14</f>
        <v/>
      </c>
      <c r="I15" s="13">
        <f>I12-I14</f>
        <v/>
      </c>
      <c r="J15" s="13">
        <f>J12-J14</f>
        <v/>
      </c>
      <c r="K15" s="13">
        <f>K12-K14</f>
        <v/>
      </c>
      <c r="L15" s="13">
        <f>L12-L14</f>
        <v/>
      </c>
      <c r="M15" s="13">
        <f>M12-M14</f>
        <v/>
      </c>
    </row>
    <row r="16">
      <c r="A16" s="14" t="inlineStr">
        <is>
          <t>Interest</t>
        </is>
      </c>
      <c r="B16" s="15">
        <f>'Raw Data'!J2</f>
        <v/>
      </c>
      <c r="C16" s="15">
        <f>'Raw Data'!J3</f>
        <v/>
      </c>
      <c r="D16" s="15">
        <f>'Raw Data'!J4</f>
        <v/>
      </c>
      <c r="E16" s="15">
        <f>'Raw Data'!J5</f>
        <v/>
      </c>
      <c r="F16" s="15">
        <f>'Raw Data'!J6</f>
        <v/>
      </c>
      <c r="G16" s="15">
        <f>'Raw Data'!J7</f>
        <v/>
      </c>
      <c r="H16" s="15">
        <f>'Raw Data'!J8</f>
        <v/>
      </c>
      <c r="I16" s="15">
        <f>'Raw Data'!J9</f>
        <v/>
      </c>
      <c r="J16" s="15">
        <f>'Raw Data'!J10</f>
        <v/>
      </c>
      <c r="K16" s="15">
        <f>'Raw Data'!J11</f>
        <v/>
      </c>
      <c r="L16" s="15">
        <f>'Raw Data'!J12</f>
        <v/>
      </c>
      <c r="M16" s="15">
        <f>'Raw Data'!J13</f>
        <v/>
      </c>
    </row>
    <row r="17">
      <c r="A17" s="42" t="inlineStr">
        <is>
          <t>Profit Before Tax</t>
        </is>
      </c>
      <c r="B17" s="13">
        <f>B15-B16</f>
        <v/>
      </c>
      <c r="C17" s="13">
        <f>C15-C16</f>
        <v/>
      </c>
      <c r="D17" s="13">
        <f>D15-D16</f>
        <v/>
      </c>
      <c r="E17" s="13">
        <f>E15-E16</f>
        <v/>
      </c>
      <c r="F17" s="13">
        <f>F15-F16</f>
        <v/>
      </c>
      <c r="G17" s="13">
        <f>G15-G16</f>
        <v/>
      </c>
      <c r="H17" s="13">
        <f>H15-H16</f>
        <v/>
      </c>
      <c r="I17" s="13">
        <f>I15-I16</f>
        <v/>
      </c>
      <c r="J17" s="13">
        <f>J15-J16</f>
        <v/>
      </c>
      <c r="K17" s="13">
        <f>K15-K16</f>
        <v/>
      </c>
      <c r="L17" s="13">
        <f>L15-L16</f>
        <v/>
      </c>
      <c r="M17" s="13">
        <f>M15-M16</f>
        <v/>
      </c>
    </row>
    <row r="18">
      <c r="A18" s="56" t="inlineStr">
        <is>
          <t>Tax  (@ assumed rate)</t>
        </is>
      </c>
      <c r="B18" s="57">
        <f>ROUND(B17*TaxRate,2)</f>
        <v/>
      </c>
      <c r="C18" s="57">
        <f>ROUND(C17*TaxRate,2)</f>
        <v/>
      </c>
      <c r="D18" s="57">
        <f>ROUND(D17*TaxRate,2)</f>
        <v/>
      </c>
      <c r="E18" s="57">
        <f>ROUND(E17*TaxRate,2)</f>
        <v/>
      </c>
      <c r="F18" s="57">
        <f>ROUND(F17*TaxRate,2)</f>
        <v/>
      </c>
      <c r="G18" s="57">
        <f>ROUND(G17*TaxRate,2)</f>
        <v/>
      </c>
      <c r="H18" s="57">
        <f>ROUND(H17*TaxRate,2)</f>
        <v/>
      </c>
      <c r="I18" s="57">
        <f>ROUND(I17*TaxRate,2)</f>
        <v/>
      </c>
      <c r="J18" s="57">
        <f>ROUND(J17*TaxRate,2)</f>
        <v/>
      </c>
      <c r="K18" s="57">
        <f>ROUND(K17*TaxRate,2)</f>
        <v/>
      </c>
      <c r="L18" s="57">
        <f>ROUND(L17*TaxRate,2)</f>
        <v/>
      </c>
      <c r="M18" s="57">
        <f>ROUND(M17*TaxRate,2)</f>
        <v/>
      </c>
    </row>
    <row r="19">
      <c r="A19" s="17" t="inlineStr">
        <is>
          <t>Net Profit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  <c r="H19" s="18">
        <f>H17-H18</f>
        <v/>
      </c>
      <c r="I19" s="18">
        <f>I17-I18</f>
        <v/>
      </c>
      <c r="J19" s="18">
        <f>J17-J18</f>
        <v/>
      </c>
      <c r="K19" s="18">
        <f>K17-K18</f>
        <v/>
      </c>
      <c r="L19" s="18">
        <f>L17-L18</f>
        <v/>
      </c>
      <c r="M19" s="18">
        <f>M17-M18</f>
        <v/>
      </c>
    </row>
    <row r="20">
      <c r="A20" s="14" t="inlineStr">
        <is>
          <t>Net Profit Margin %</t>
        </is>
      </c>
      <c r="B20" s="16">
        <f>B19/B2</f>
        <v/>
      </c>
      <c r="C20" s="16">
        <f>C19/C2</f>
        <v/>
      </c>
      <c r="D20" s="16">
        <f>D19/D2</f>
        <v/>
      </c>
      <c r="E20" s="16">
        <f>E19/E2</f>
        <v/>
      </c>
      <c r="F20" s="16">
        <f>F19/F2</f>
        <v/>
      </c>
      <c r="G20" s="16">
        <f>G19/G2</f>
        <v/>
      </c>
      <c r="H20" s="16">
        <f>H19/H2</f>
        <v/>
      </c>
      <c r="I20" s="16">
        <f>I19/I2</f>
        <v/>
      </c>
      <c r="J20" s="16">
        <f>J19/J2</f>
        <v/>
      </c>
      <c r="K20" s="16">
        <f>K19/K2</f>
        <v/>
      </c>
      <c r="L20" s="16">
        <f>L19/L2</f>
        <v/>
      </c>
      <c r="M20" s="16">
        <f>M19/M2</f>
        <v/>
      </c>
    </row>
  </sheetData>
  <pageMargins left="0.7" right="0.7" top="0.75" bottom="0.75" header="0.3" footer="0.3"/>
  <pageSetup orientation="portrait" fitToHeight="0" verticalDpi="0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11"/>
  <sheetViews>
    <sheetView showGridLines="0" zoomScale="90" workbookViewId="0">
      <selection activeCell="D10" sqref="D10"/>
    </sheetView>
  </sheetViews>
  <sheetFormatPr baseColWidth="8" defaultRowHeight="14.5"/>
  <cols>
    <col width="22" bestFit="1" customWidth="1" style="52" min="1" max="1"/>
    <col width="17" customWidth="1" style="52" min="2" max="2"/>
    <col width="17" bestFit="1" customWidth="1" style="52" min="3" max="4"/>
    <col width="14" bestFit="1" customWidth="1" style="52" min="5" max="5"/>
    <col width="30" customWidth="1" style="39" min="6" max="6"/>
  </cols>
  <sheetData>
    <row r="1" ht="29" customHeight="1" s="39">
      <c r="A1" s="7" t="inlineStr">
        <is>
          <t>Metric</t>
        </is>
      </c>
      <c r="B1" s="7" t="inlineStr">
        <is>
          <t>Budget (₹ Lakhs)</t>
        </is>
      </c>
      <c r="C1" s="7" t="inlineStr">
        <is>
          <t>Actual (₹ Lakhs)</t>
        </is>
      </c>
      <c r="D1" s="7" t="inlineStr">
        <is>
          <t>Variance (₹ Lakhs)</t>
        </is>
      </c>
      <c r="E1" s="7" t="inlineStr">
        <is>
          <t>Variance %</t>
        </is>
      </c>
      <c r="F1" s="20" t="inlineStr">
        <is>
          <t>Interpretation</t>
        </is>
      </c>
    </row>
    <row r="2">
      <c r="A2" s="21" t="inlineStr">
        <is>
          <t>Revenue</t>
        </is>
      </c>
      <c r="B2" s="58" t="n">
        <v>1150</v>
      </c>
      <c r="C2" s="22">
        <f>SUM('P&amp;L Analysis'!B2:M2)</f>
        <v/>
      </c>
      <c r="D2" s="59">
        <f>C2-B2</f>
        <v/>
      </c>
      <c r="E2" s="60">
        <f>D2/B2</f>
        <v/>
      </c>
      <c r="F2" s="61" t="inlineStr">
        <is>
          <t>[FAV]   Revenue above budget</t>
        </is>
      </c>
    </row>
    <row r="3">
      <c r="A3" s="25" t="inlineStr">
        <is>
          <t>COGS</t>
        </is>
      </c>
      <c r="B3" s="62" t="n">
        <v>630</v>
      </c>
      <c r="C3" s="26">
        <f>SUM('P&amp;L Analysis'!B3:M3)</f>
        <v/>
      </c>
      <c r="D3" s="63">
        <f>C3-B3</f>
        <v/>
      </c>
      <c r="E3" s="64">
        <f>D3/B3</f>
        <v/>
      </c>
      <c r="F3" s="65" t="inlineStr">
        <is>
          <t>[UNFAV] COGS above budget</t>
        </is>
      </c>
    </row>
    <row r="4">
      <c r="A4" s="21" t="inlineStr">
        <is>
          <t>Gross Profit</t>
        </is>
      </c>
      <c r="B4" s="58" t="n">
        <v>520</v>
      </c>
      <c r="C4" s="22">
        <f>SUM('P&amp;L Analysis'!B4:M4)</f>
        <v/>
      </c>
      <c r="D4" s="59">
        <f>C4-B4</f>
        <v/>
      </c>
      <c r="E4" s="60">
        <f>D4/B4</f>
        <v/>
      </c>
      <c r="F4" s="61" t="inlineStr">
        <is>
          <t>[FAV]   Gross Profit above budget</t>
        </is>
      </c>
    </row>
    <row r="5">
      <c r="A5" s="25" t="inlineStr">
        <is>
          <t>Operating Expenses</t>
        </is>
      </c>
      <c r="B5" s="62" t="n">
        <v>275</v>
      </c>
      <c r="C5" s="26">
        <f>SUM('P&amp;L Analysis'!B11:M11)</f>
        <v/>
      </c>
      <c r="D5" s="63">
        <f>C5-B5</f>
        <v/>
      </c>
      <c r="E5" s="64">
        <f>D5/B5</f>
        <v/>
      </c>
      <c r="F5" s="65" t="inlineStr">
        <is>
          <t>[UNFAV] OpEx above budget -- key cost overrun</t>
        </is>
      </c>
    </row>
    <row r="6">
      <c r="A6" s="21" t="inlineStr">
        <is>
          <t>EBITDA</t>
        </is>
      </c>
      <c r="B6" s="58" t="n">
        <v>245</v>
      </c>
      <c r="C6" s="22">
        <f>SUM('P&amp;L Analysis'!B12:M12)</f>
        <v/>
      </c>
      <c r="D6" s="63">
        <f>C6-B6</f>
        <v/>
      </c>
      <c r="E6" s="64">
        <f>D6/B6</f>
        <v/>
      </c>
      <c r="F6" s="65" t="inlineStr">
        <is>
          <t>[UNFAV] EBITDA below budget</t>
        </is>
      </c>
    </row>
    <row r="7">
      <c r="A7" s="25" t="inlineStr">
        <is>
          <t>Net Profit</t>
        </is>
      </c>
      <c r="B7" s="62" t="n">
        <v>145</v>
      </c>
      <c r="C7" s="26">
        <f>SUM('P&amp;L Analysis'!B19:M19)</f>
        <v/>
      </c>
      <c r="D7" s="59">
        <f>C7-B7</f>
        <v/>
      </c>
      <c r="E7" s="60">
        <f>D7/B7</f>
        <v/>
      </c>
      <c r="F7" s="61" t="inlineStr">
        <is>
          <t>[FAV]   Net Profit above budget</t>
        </is>
      </c>
    </row>
    <row r="8">
      <c r="A8" s="66" t="inlineStr">
        <is>
          <t>OpEx as % of Revenue</t>
        </is>
      </c>
      <c r="B8" s="67">
        <f>B5/B2</f>
        <v/>
      </c>
      <c r="C8" s="68">
        <f>C5/C2</f>
        <v/>
      </c>
      <c r="D8" s="69">
        <f>C8-B8</f>
        <v/>
      </c>
      <c r="F8" s="70" t="inlineStr">
        <is>
          <t>[UNFAV] OpEx % exceeded budget -- headline risk</t>
        </is>
      </c>
    </row>
    <row r="9" ht="55" customHeight="1" s="39">
      <c r="A9" s="70" t="inlineStr">
        <is>
          <t>Below-EBITDA Explanation</t>
        </is>
      </c>
      <c r="B9" s="71" t="inlineStr">
        <is>
          <t>Net Profit beat budget by +Rs25.1L (+17.3%) even though EBITDA missed by -Rs6.5L. Actual below-EBITDA costs: Depreciation Rs18.0L + Interest Rs12.6L + Tax Rs37.8L = Rs68.4L -- Rs31.6L below the Rs100L implied in the budget. The profit beat is a below-EBITDA cost windfall, NOT operational outperformance.</t>
        </is>
      </c>
    </row>
    <row r="10"/>
    <row r="11">
      <c r="A11" t="inlineStr">
        <is>
          <t>Note:</t>
        </is>
      </c>
      <c r="B11" t="inlineStr">
        <is>
          <t>Positive variance is not automatically favorable: for Revenue/Profit it is generally favorable; for COGS/Operating Expenses it is generally unfavorable.</t>
        </is>
      </c>
    </row>
  </sheetData>
  <mergeCells count="1">
    <mergeCell ref="B9:F10"/>
  </mergeCells>
  <pageMargins left="0.7" right="0.7" top="0.75" bottom="0.75" header="0.3" footer="0.3"/>
  <pageSetup fitToHeight="0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I13"/>
  <sheetViews>
    <sheetView showGridLines="0" topLeftCell="B1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P4" sqref="P4"/>
    </sheetView>
  </sheetViews>
  <sheetFormatPr baseColWidth="8" defaultRowHeight="14.5"/>
  <cols>
    <col width="14" customWidth="1" style="39" min="1" max="1"/>
    <col width="13" customWidth="1" style="39" min="2" max="2"/>
    <col width="14" customWidth="1" style="39" min="3" max="3"/>
    <col width="15" customWidth="1" style="39" min="4" max="4"/>
    <col width="13" customWidth="1" style="39" min="5" max="5"/>
    <col width="15" customWidth="1" style="39" min="6" max="6"/>
    <col width="13" customWidth="1" style="39" min="7" max="7"/>
    <col width="17" customWidth="1" style="39" min="8" max="8"/>
    <col width="5.453125" customWidth="1" style="39" min="16" max="16"/>
  </cols>
  <sheetData>
    <row r="1" ht="29" customHeight="1" s="39">
      <c r="A1" s="7" t="inlineStr">
        <is>
          <t>Month</t>
        </is>
      </c>
      <c r="B1" s="7" t="inlineStr">
        <is>
          <t>Revenue</t>
        </is>
      </c>
      <c r="C1" s="7" t="inlineStr">
        <is>
          <t>Gross Profit</t>
        </is>
      </c>
      <c r="D1" s="7" t="inlineStr">
        <is>
          <t>Gross Margin %</t>
        </is>
      </c>
      <c r="E1" s="7" t="inlineStr">
        <is>
          <t>EBITDA</t>
        </is>
      </c>
      <c r="F1" s="7" t="inlineStr">
        <is>
          <t>EBITDA Margin %</t>
        </is>
      </c>
      <c r="G1" s="7" t="inlineStr">
        <is>
          <t>Net Profit</t>
        </is>
      </c>
      <c r="H1" s="7" t="inlineStr">
        <is>
          <t>Net Profit Margin %</t>
        </is>
      </c>
      <c r="I1" s="72" t="inlineStr">
        <is>
          <t>OpEx as % of Revenue</t>
        </is>
      </c>
    </row>
    <row r="2">
      <c r="A2" s="29" t="inlineStr">
        <is>
          <t>April</t>
        </is>
      </c>
      <c r="B2" s="8" t="n">
        <v>82</v>
      </c>
      <c r="C2" s="30">
        <f t="array" ref="C2">INDEX('P&amp;L Analysis'!$B$4:$M$4,1,COLUMN(A1))</f>
        <v/>
      </c>
      <c r="D2" s="31">
        <f>C2/B2</f>
        <v/>
      </c>
      <c r="E2" s="30">
        <f>'P&amp;L Analysis'!B12</f>
        <v/>
      </c>
      <c r="F2" s="31">
        <f>E2/B2</f>
        <v/>
      </c>
      <c r="G2" s="30">
        <f>'P&amp;L Analysis'!B19</f>
        <v/>
      </c>
      <c r="H2" s="31">
        <f>G2/B2</f>
        <v/>
      </c>
      <c r="I2" s="68">
        <f>'P&amp;L Analysis'!B11/'P&amp;L Analysis'!B2</f>
        <v/>
      </c>
    </row>
    <row r="3">
      <c r="A3" s="42" t="inlineStr">
        <is>
          <t>May</t>
        </is>
      </c>
      <c r="B3" s="10" t="n">
        <v>85</v>
      </c>
      <c r="C3" s="13">
        <f t="array" ref="C3">INDEX('P&amp;L Analysis'!$C$4:$M$4,1,COLUMN(A2))</f>
        <v/>
      </c>
      <c r="D3" s="19">
        <f>C3/B3</f>
        <v/>
      </c>
      <c r="E3" s="13">
        <f>'P&amp;L Analysis'!C12</f>
        <v/>
      </c>
      <c r="F3" s="19">
        <f>E3/B3</f>
        <v/>
      </c>
      <c r="G3" s="13">
        <f>'P&amp;L Analysis'!C19</f>
        <v/>
      </c>
      <c r="H3" s="19">
        <f>G3/B3</f>
        <v/>
      </c>
      <c r="I3" s="68">
        <f>'P&amp;L Analysis'!C11/'P&amp;L Analysis'!C2</f>
        <v/>
      </c>
    </row>
    <row r="4">
      <c r="A4" s="29" t="inlineStr">
        <is>
          <t>June</t>
        </is>
      </c>
      <c r="B4" s="8" t="n">
        <v>88</v>
      </c>
      <c r="C4" s="30">
        <f t="array" ref="C4">INDEX('P&amp;L Analysis'!$D$4:$M$4,1,COLUMN(A3))</f>
        <v/>
      </c>
      <c r="D4" s="31">
        <f>C4/B4</f>
        <v/>
      </c>
      <c r="E4" s="30">
        <f>'P&amp;L Analysis'!D12</f>
        <v/>
      </c>
      <c r="F4" s="31">
        <f>E4/B4</f>
        <v/>
      </c>
      <c r="G4" s="30">
        <f>'P&amp;L Analysis'!D19</f>
        <v/>
      </c>
      <c r="H4" s="31">
        <f>G4/B4</f>
        <v/>
      </c>
      <c r="I4" s="68">
        <f>'P&amp;L Analysis'!D11/'P&amp;L Analysis'!D2</f>
        <v/>
      </c>
    </row>
    <row r="5">
      <c r="A5" s="42" t="inlineStr">
        <is>
          <t>July</t>
        </is>
      </c>
      <c r="B5" s="10" t="n">
        <v>91</v>
      </c>
      <c r="C5" s="13">
        <f t="array" ref="C5">INDEX('P&amp;L Analysis'!$E$4:$M$4,1,COLUMN(A4))</f>
        <v/>
      </c>
      <c r="D5" s="19">
        <f>C5/B5</f>
        <v/>
      </c>
      <c r="E5" s="13">
        <f>'P&amp;L Analysis'!E12</f>
        <v/>
      </c>
      <c r="F5" s="19">
        <f>E5/B5</f>
        <v/>
      </c>
      <c r="G5" s="13">
        <f>'P&amp;L Analysis'!E19</f>
        <v/>
      </c>
      <c r="H5" s="19">
        <f>G5/B5</f>
        <v/>
      </c>
      <c r="I5" s="68">
        <f>'P&amp;L Analysis'!E11/'P&amp;L Analysis'!E2</f>
        <v/>
      </c>
    </row>
    <row r="6">
      <c r="A6" s="29" t="inlineStr">
        <is>
          <t>August</t>
        </is>
      </c>
      <c r="B6" s="8" t="n">
        <v>95</v>
      </c>
      <c r="C6" s="30">
        <f t="array" ref="C6">INDEX('P&amp;L Analysis'!$F$4:$M$4,1,COLUMN(A5))</f>
        <v/>
      </c>
      <c r="D6" s="31">
        <f>C6/B6</f>
        <v/>
      </c>
      <c r="E6" s="30">
        <f>'P&amp;L Analysis'!F12</f>
        <v/>
      </c>
      <c r="F6" s="31">
        <f>E6/B6</f>
        <v/>
      </c>
      <c r="G6" s="30">
        <f>'P&amp;L Analysis'!F19</f>
        <v/>
      </c>
      <c r="H6" s="31">
        <f>G6/B6</f>
        <v/>
      </c>
      <c r="I6" s="68">
        <f>'P&amp;L Analysis'!F11/'P&amp;L Analysis'!F2</f>
        <v/>
      </c>
    </row>
    <row r="7">
      <c r="A7" s="42" t="inlineStr">
        <is>
          <t>September</t>
        </is>
      </c>
      <c r="B7" s="10" t="n">
        <v>98</v>
      </c>
      <c r="C7" s="13">
        <f t="array" ref="C7">INDEX('P&amp;L Analysis'!$G$4:$M$4,1,COLUMN(A6))</f>
        <v/>
      </c>
      <c r="D7" s="19">
        <f>C7/B7</f>
        <v/>
      </c>
      <c r="E7" s="13">
        <f>'P&amp;L Analysis'!G12</f>
        <v/>
      </c>
      <c r="F7" s="19">
        <f>E7/B7</f>
        <v/>
      </c>
      <c r="G7" s="13">
        <f>'P&amp;L Analysis'!G19</f>
        <v/>
      </c>
      <c r="H7" s="19">
        <f>G7/B7</f>
        <v/>
      </c>
      <c r="I7" s="68">
        <f>'P&amp;L Analysis'!G11/'P&amp;L Analysis'!G2</f>
        <v/>
      </c>
    </row>
    <row r="8">
      <c r="A8" s="29" t="inlineStr">
        <is>
          <t>October</t>
        </is>
      </c>
      <c r="B8" s="8" t="n">
        <v>108</v>
      </c>
      <c r="C8" s="30">
        <f t="array" ref="C8">INDEX('P&amp;L Analysis'!$H$4:$M$4,1,COLUMN(A7))</f>
        <v/>
      </c>
      <c r="D8" s="31">
        <f>C8/B8</f>
        <v/>
      </c>
      <c r="E8" s="30">
        <f>'P&amp;L Analysis'!H12</f>
        <v/>
      </c>
      <c r="F8" s="31">
        <f>E8/B8</f>
        <v/>
      </c>
      <c r="G8" s="30">
        <f>'P&amp;L Analysis'!H19</f>
        <v/>
      </c>
      <c r="H8" s="31">
        <f>G8/B8</f>
        <v/>
      </c>
      <c r="I8" s="68">
        <f>'P&amp;L Analysis'!H11/'P&amp;L Analysis'!H2</f>
        <v/>
      </c>
    </row>
    <row r="9">
      <c r="A9" s="42" t="inlineStr">
        <is>
          <t>November</t>
        </is>
      </c>
      <c r="B9" s="10" t="n">
        <v>112</v>
      </c>
      <c r="C9" s="13">
        <f t="array" ref="C9">INDEX('P&amp;L Analysis'!$I$4:$M$4,1,COLUMN(A8))</f>
        <v/>
      </c>
      <c r="D9" s="19">
        <f>C9/B9</f>
        <v/>
      </c>
      <c r="E9" s="13">
        <f>'P&amp;L Analysis'!I12</f>
        <v/>
      </c>
      <c r="F9" s="19">
        <f>E9/B9</f>
        <v/>
      </c>
      <c r="G9" s="13">
        <f>'P&amp;L Analysis'!I19</f>
        <v/>
      </c>
      <c r="H9" s="19">
        <f>G9/B9</f>
        <v/>
      </c>
      <c r="I9" s="68">
        <f>'P&amp;L Analysis'!I11/'P&amp;L Analysis'!I2</f>
        <v/>
      </c>
    </row>
    <row r="10">
      <c r="A10" s="29" t="inlineStr">
        <is>
          <t>December</t>
        </is>
      </c>
      <c r="B10" s="8" t="n">
        <v>105</v>
      </c>
      <c r="C10" s="30">
        <f t="array" ref="C10">INDEX('P&amp;L Analysis'!$J$4:$M$4,1,COLUMN(A9))</f>
        <v/>
      </c>
      <c r="D10" s="31">
        <f>C10/B10</f>
        <v/>
      </c>
      <c r="E10" s="30">
        <f>'P&amp;L Analysis'!J12</f>
        <v/>
      </c>
      <c r="F10" s="31">
        <f>E10/B10</f>
        <v/>
      </c>
      <c r="G10" s="30">
        <f>'P&amp;L Analysis'!J19</f>
        <v/>
      </c>
      <c r="H10" s="31">
        <f>G10/B10</f>
        <v/>
      </c>
      <c r="I10" s="68">
        <f>'P&amp;L Analysis'!J11/'P&amp;L Analysis'!J2</f>
        <v/>
      </c>
    </row>
    <row r="11">
      <c r="A11" s="42" t="inlineStr">
        <is>
          <t>January</t>
        </is>
      </c>
      <c r="B11" s="10" t="n">
        <v>101</v>
      </c>
      <c r="C11" s="13">
        <f t="array" ref="C11">INDEX('P&amp;L Analysis'!$K$4:$M$4,1,COLUMN(A10))</f>
        <v/>
      </c>
      <c r="D11" s="19">
        <f>C11/B11</f>
        <v/>
      </c>
      <c r="E11" s="13">
        <f>'P&amp;L Analysis'!K12</f>
        <v/>
      </c>
      <c r="F11" s="19">
        <f>E11/B11</f>
        <v/>
      </c>
      <c r="G11" s="13">
        <f>'P&amp;L Analysis'!K19</f>
        <v/>
      </c>
      <c r="H11" s="19">
        <f>G11/B11</f>
        <v/>
      </c>
      <c r="I11" s="68">
        <f>'P&amp;L Analysis'!K11/'P&amp;L Analysis'!K2</f>
        <v/>
      </c>
    </row>
    <row r="12">
      <c r="A12" s="29" t="inlineStr">
        <is>
          <t>February</t>
        </is>
      </c>
      <c r="B12" s="8" t="n">
        <v>106</v>
      </c>
      <c r="C12" s="30">
        <f t="array" ref="C12">INDEX('P&amp;L Analysis'!$L$4:$M$4,1,COLUMN(A11))</f>
        <v/>
      </c>
      <c r="D12" s="31">
        <f>C12/B12</f>
        <v/>
      </c>
      <c r="E12" s="30">
        <f>'P&amp;L Analysis'!L12</f>
        <v/>
      </c>
      <c r="F12" s="31">
        <f>E12/B12</f>
        <v/>
      </c>
      <c r="G12" s="30">
        <f>'P&amp;L Analysis'!L19</f>
        <v/>
      </c>
      <c r="H12" s="31">
        <f>G12/B12</f>
        <v/>
      </c>
      <c r="I12" s="68">
        <f>'P&amp;L Analysis'!L11/'P&amp;L Analysis'!L2</f>
        <v/>
      </c>
    </row>
    <row r="13">
      <c r="A13" s="42" t="inlineStr">
        <is>
          <t>March</t>
        </is>
      </c>
      <c r="B13" s="10" t="n">
        <v>118</v>
      </c>
      <c r="C13" s="13">
        <f t="array" ref="C13">INDEX('P&amp;L Analysis'!$M$4:$M$4,1,COLUMN(A12))</f>
        <v/>
      </c>
      <c r="D13" s="19">
        <f>C13/B13</f>
        <v/>
      </c>
      <c r="E13" s="13">
        <f>'P&amp;L Analysis'!M12</f>
        <v/>
      </c>
      <c r="F13" s="19">
        <f>E13/B13</f>
        <v/>
      </c>
      <c r="G13" s="13">
        <f>'P&amp;L Analysis'!M19</f>
        <v/>
      </c>
      <c r="H13" s="19">
        <f>G13/B13</f>
        <v/>
      </c>
      <c r="I13" s="68">
        <f>'P&amp;L Analysis'!M11/'P&amp;L Analysis'!M2</f>
        <v/>
      </c>
    </row>
  </sheetData>
  <conditionalFormatting sqref="D2:D1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H2:H13">
    <cfRule type="colorScale" priority="3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pageSetup fitToHeight="0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D13"/>
  <sheetViews>
    <sheetView showGridLines="0" zoomScale="90" workbookViewId="0">
      <selection activeCell="B13" sqref="B13"/>
    </sheetView>
  </sheetViews>
  <sheetFormatPr baseColWidth="8" defaultRowHeight="14.5"/>
  <cols>
    <col width="26" bestFit="1" customWidth="1" style="39" min="1" max="1"/>
    <col width="34" bestFit="1" customWidth="1" style="39" min="2" max="2"/>
    <col width="22" customWidth="1" style="39" min="3" max="3"/>
    <col width="48" customWidth="1" style="39" min="4" max="4"/>
  </cols>
  <sheetData>
    <row r="1">
      <c r="A1" s="20" t="inlineStr">
        <is>
          <t>Insight</t>
        </is>
      </c>
      <c r="B1" s="20" t="inlineStr">
        <is>
          <t>Method / Formula</t>
        </is>
      </c>
      <c r="C1" s="20" t="inlineStr">
        <is>
          <t>Result</t>
        </is>
      </c>
      <c r="D1" s="20" t="inlineStr">
        <is>
          <t>Business Interpretation</t>
        </is>
      </c>
    </row>
    <row r="2">
      <c r="A2" s="32" t="inlineStr">
        <is>
          <t>Highest Revenue</t>
        </is>
      </c>
      <c r="B2" s="32" t="inlineStr">
        <is>
          <t>MAX(Monthly Analysis!B2:B13)</t>
        </is>
      </c>
      <c r="C2" s="32">
        <f>MAX('Monthly Analysis'!B2:B13)</f>
        <v/>
      </c>
      <c r="D2" s="32" t="inlineStr">
        <is>
          <t>March records the highest monthly revenue.</t>
        </is>
      </c>
    </row>
    <row r="3">
      <c r="A3" s="33" t="inlineStr">
        <is>
          <t>Lowest Revenue</t>
        </is>
      </c>
      <c r="B3" s="33" t="inlineStr">
        <is>
          <t>MIN(Monthly Analysis!B2:B13)</t>
        </is>
      </c>
      <c r="C3" s="33">
        <f>MIN('Monthly Analysis'!B2:B13)</f>
        <v/>
      </c>
      <c r="D3" s="33" t="inlineStr">
        <is>
          <t>April records the lowest monthly revenue.</t>
        </is>
      </c>
    </row>
    <row r="4">
      <c r="A4" s="32" t="inlineStr">
        <is>
          <t>Highest Revenue Month</t>
        </is>
      </c>
      <c r="B4" s="32" t="inlineStr">
        <is>
          <t>INDEX + MATCH</t>
        </is>
      </c>
      <c r="C4" s="32">
        <f>INDEX('Monthly Analysis'!A2:A13,MATCH(C2,'Monthly Analysis'!B2:B13,0))</f>
        <v/>
      </c>
      <c r="D4" s="32" t="inlineStr">
        <is>
          <t>Identifies the month associated with peak revenue.</t>
        </is>
      </c>
    </row>
    <row r="5">
      <c r="A5" s="33" t="inlineStr">
        <is>
          <t>Lowest Revenue Month</t>
        </is>
      </c>
      <c r="B5" s="33" t="inlineStr">
        <is>
          <t>INDEX + MATCH</t>
        </is>
      </c>
      <c r="C5" s="33">
        <f>INDEX('Monthly Analysis'!A2:A13,MATCH(C3,'Monthly Analysis'!B2:B13,0))</f>
        <v/>
      </c>
      <c r="D5" s="33" t="inlineStr">
        <is>
          <t>Identifies the month associated with lowest revenue.</t>
        </is>
      </c>
    </row>
    <row r="6">
      <c r="A6" s="32" t="inlineStr">
        <is>
          <t>Revenue Growth (Endpoint: March vs April)</t>
        </is>
      </c>
      <c r="B6" s="32" t="inlineStr">
        <is>
          <t>(March − April) / April</t>
        </is>
      </c>
      <c r="C6" s="34">
        <f>('Monthly Analysis'!B13-'Monthly Analysis'!B2)/'Monthly Analysis'!B2</f>
        <v/>
      </c>
      <c r="D6" s="32" t="inlineStr">
        <is>
          <t>Cumulative period-end growth (March vs April). Not a trend measure -- see 'Avg MoM Growth' below for a more defensible metric.</t>
        </is>
      </c>
    </row>
    <row r="7">
      <c r="A7" s="54" t="inlineStr">
        <is>
          <t>Avg Month-on-Month Revenue Growth</t>
        </is>
      </c>
      <c r="B7" s="73" t="inlineStr">
        <is>
          <t>Geometric: (Mar/Apr)^(1/11) - 1</t>
        </is>
      </c>
      <c r="C7" s="68">
        <f>('Monthly Analysis'!B13/'Monthly Analysis'!B2)^(1/11)-1</f>
        <v/>
      </c>
      <c r="D7" t="inlineStr">
        <is>
          <t>Compound monthly growth rate over 11 intervals (~3.4%). More defensible than a two-point comparison. Indicates steady organic revenue growth across the year.</t>
        </is>
      </c>
    </row>
    <row r="8" ht="29" customHeight="1" s="39">
      <c r="A8" s="33" t="inlineStr">
        <is>
          <t>Gross Margin Change</t>
        </is>
      </c>
      <c r="B8" s="33" t="inlineStr">
        <is>
          <t>March GM − April GM</t>
        </is>
      </c>
      <c r="C8" s="35">
        <f>'Monthly Analysis'!D13-'Monthly Analysis'!D2</f>
        <v/>
      </c>
      <c r="D8" s="33" t="inlineStr">
        <is>
          <t>Margin improved over the period.</t>
        </is>
      </c>
    </row>
    <row r="9">
      <c r="A9" s="32" t="inlineStr">
        <is>
          <t>EBITDA Margin Change</t>
        </is>
      </c>
      <c r="B9" s="32" t="inlineStr">
        <is>
          <t>March EBITDA margin − April EBITDA margin</t>
        </is>
      </c>
      <c r="C9" s="34">
        <f>'Monthly Analysis'!F13-'Monthly Analysis'!F2</f>
        <v/>
      </c>
      <c r="D9" s="32" t="inlineStr">
        <is>
          <t>Operating profitability improved over the period.</t>
        </is>
      </c>
    </row>
    <row r="10">
      <c r="A10" s="33" t="inlineStr">
        <is>
          <t>Net Profit Margin Change</t>
        </is>
      </c>
      <c r="B10" s="33" t="inlineStr">
        <is>
          <t>March NP margin − April NP margin</t>
        </is>
      </c>
      <c r="C10" s="35">
        <f>'Monthly Analysis'!H13-'Monthly Analysis'!H2</f>
        <v/>
      </c>
      <c r="D10" s="33" t="inlineStr">
        <is>
          <t>Bottom-line margin improved over the period.</t>
        </is>
      </c>
    </row>
    <row r="11">
      <c r="A11" s="32" t="inlineStr">
        <is>
          <t>Budget Revenue Variance</t>
        </is>
      </c>
      <c r="B11" s="32" t="inlineStr">
        <is>
          <t>Actual − Budget</t>
        </is>
      </c>
      <c r="C11" s="36">
        <f>'Budget Variance'!D2</f>
        <v/>
      </c>
      <c r="D11" s="32" t="inlineStr">
        <is>
          <t>Revenue finished above budget.</t>
        </is>
      </c>
    </row>
    <row r="12">
      <c r="A12" s="33" t="inlineStr">
        <is>
          <t>Budget EBITDA Variance</t>
        </is>
      </c>
      <c r="B12" s="33" t="inlineStr">
        <is>
          <t>Actual − Budget</t>
        </is>
      </c>
      <c r="C12" s="37">
        <f>'Budget Variance'!D6</f>
        <v/>
      </c>
      <c r="D12" s="33" t="inlineStr">
        <is>
          <t>EBITDA finished below budget despite higher revenue.</t>
        </is>
      </c>
    </row>
    <row r="13">
      <c r="A13" s="32" t="inlineStr">
        <is>
          <t>Budget Net Profit Variance</t>
        </is>
      </c>
      <c r="B13" s="32" t="inlineStr">
        <is>
          <t>Actual − Budget</t>
        </is>
      </c>
      <c r="C13" s="36">
        <f>'Budget Variance'!D7</f>
        <v/>
      </c>
      <c r="D13" s="32" t="inlineStr">
        <is>
          <t>Net profit finished above budget.</t>
        </is>
      </c>
    </row>
  </sheetData>
  <pageMargins left="0.7" right="0.7" top="0.75" bottom="0.75" header="0.3" footer="0.3"/>
  <pageSetup fitToHeight="0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L39"/>
  <sheetViews>
    <sheetView showGridLines="0" tabSelected="1" zoomScale="90" workbookViewId="0">
      <selection activeCell="A1" sqref="A1:L2"/>
    </sheetView>
  </sheetViews>
  <sheetFormatPr baseColWidth="8" defaultRowHeight="14.5"/>
  <cols>
    <col width="14" customWidth="1" style="39" min="1" max="12"/>
  </cols>
  <sheetData>
    <row r="1">
      <c r="A1" s="46" t="inlineStr">
        <is>
          <t>FINANCIAL PERFORMANCE DASHBOARD</t>
        </is>
      </c>
    </row>
    <row r="2"/>
    <row r="3">
      <c r="A3" s="48" t="inlineStr">
        <is>
          <t>12-Month Management View | Illustrative Dataset | ₹ Lakhs</t>
        </is>
      </c>
    </row>
    <row r="5">
      <c r="A5" s="38" t="inlineStr">
        <is>
          <t>Revenue</t>
        </is>
      </c>
      <c r="D5" s="38" t="inlineStr">
        <is>
          <t>Gross Margin (Full Year)</t>
        </is>
      </c>
      <c r="G5" s="38" t="inlineStr">
        <is>
          <t>EBITDA</t>
        </is>
      </c>
      <c r="J5" s="38" t="inlineStr">
        <is>
          <t>Net Profit</t>
        </is>
      </c>
    </row>
    <row r="6">
      <c r="A6" s="41">
        <f>'Budget Variance'!C2</f>
        <v/>
      </c>
      <c r="B6" s="74" t="n"/>
      <c r="C6" s="75" t="n"/>
      <c r="D6" s="43">
        <f>'Budget Variance'!C4/'Budget Variance'!C2</f>
        <v/>
      </c>
      <c r="E6" s="74" t="n"/>
      <c r="F6" s="75" t="n"/>
      <c r="G6" s="41">
        <f>'Budget Variance'!C6</f>
        <v/>
      </c>
      <c r="H6" s="74" t="n"/>
      <c r="I6" s="75" t="n"/>
      <c r="J6" s="41">
        <f>'Budget Variance'!C7</f>
        <v/>
      </c>
      <c r="K6" s="74" t="n"/>
      <c r="L6" s="75" t="n"/>
    </row>
    <row r="7">
      <c r="A7" s="76" t="n"/>
      <c r="C7" s="77" t="n"/>
      <c r="D7" s="76" t="n"/>
      <c r="F7" s="77" t="n"/>
      <c r="G7" s="76" t="n"/>
      <c r="I7" s="77" t="n"/>
      <c r="J7" s="76" t="n"/>
      <c r="L7" s="77" t="n"/>
    </row>
    <row r="8">
      <c r="A8" s="78" t="n"/>
      <c r="B8" s="79" t="n"/>
      <c r="C8" s="80" t="n"/>
      <c r="D8" s="78" t="n"/>
      <c r="E8" s="79" t="n"/>
      <c r="F8" s="80" t="n"/>
      <c r="G8" s="78" t="n"/>
      <c r="H8" s="79" t="n"/>
      <c r="I8" s="80" t="n"/>
      <c r="J8" s="78" t="n"/>
      <c r="K8" s="79" t="n"/>
      <c r="L8" s="80" t="n"/>
    </row>
    <row r="25" ht="45" customHeight="1" s="39">
      <c r="G25" s="81" t="inlineStr">
        <is>
          <t>HEADLINE: OpEx exceeded budget by +9.6% vs revenue growth of +3.4% — this dragged EBITDA below budget despite top-line expansion.</t>
        </is>
      </c>
    </row>
    <row r="26" ht="30" customHeight="1" s="39">
      <c r="G26" s="82" t="inlineStr">
        <is>
          <t>Revenue rose from Rs82L (April) to Rs118L (March); avg. month-on-month growth ~3.5% (compound).</t>
        </is>
      </c>
      <c r="H26" s="83" t="n"/>
      <c r="I26" s="83" t="n"/>
      <c r="J26" s="83" t="n"/>
      <c r="K26" s="83" t="n"/>
      <c r="L26" s="84" t="n"/>
    </row>
    <row r="27" ht="30" customHeight="1" s="39">
      <c r="G27" s="85" t="inlineStr">
        <is>
          <t>Gross margin improved from 42.7% to 47.5%; full-year gross margin: 45.4%.</t>
        </is>
      </c>
      <c r="H27" s="83" t="n"/>
      <c r="I27" s="83" t="n"/>
      <c r="J27" s="83" t="n"/>
      <c r="K27" s="83" t="n"/>
      <c r="L27" s="84" t="n"/>
    </row>
    <row r="28" ht="30" customHeight="1" s="39">
      <c r="G28" s="82" t="inlineStr">
        <is>
          <t>EBITDA margin improved from 16.2% to 23.9%; full-year EBITDA margin: 20.1%.</t>
        </is>
      </c>
      <c r="H28" s="83" t="n"/>
      <c r="I28" s="83" t="n"/>
      <c r="J28" s="83" t="n"/>
      <c r="K28" s="83" t="n"/>
      <c r="L28" s="84" t="n"/>
    </row>
    <row r="29" ht="30" customHeight="1" s="39">
      <c r="G29" s="85" t="inlineStr">
        <is>
          <t>Revenue exceeded budget by Rs39L (+3.4%); EBITDA missed budget by Rs6.5L (-2.6%).</t>
        </is>
      </c>
      <c r="H29" s="83" t="n"/>
      <c r="I29" s="83" t="n"/>
      <c r="J29" s="83" t="n"/>
      <c r="K29" s="83" t="n"/>
      <c r="L29" s="84" t="n"/>
    </row>
    <row r="30" ht="30" customHeight="1" s="39">
      <c r="G30" s="82" t="inlineStr">
        <is>
          <t>Net profit beat budget by Rs25.1L (+17.3%) — NOT from trading: below-EBITDA costs (Depr Rs18L + Interest Rs12.6L + Tax Rs37.8L = Rs68.4L) were Rs31.6L below the implied Rs100L budget allowance.</t>
        </is>
      </c>
      <c r="H30" s="83" t="n"/>
      <c r="I30" s="83" t="n"/>
      <c r="J30" s="83" t="n"/>
      <c r="K30" s="83" t="n"/>
      <c r="L30" s="84" t="n"/>
    </row>
    <row r="31" ht="30" customHeight="1" s="39">
      <c r="G31" s="85" t="inlineStr">
        <is>
          <t>OpEx as % of Revenue: budget implied ~23.9%; actual 25.4% — a headline metric to watch.</t>
        </is>
      </c>
      <c r="H31" s="83" t="n"/>
      <c r="I31" s="83" t="n"/>
      <c r="J31" s="83" t="n"/>
      <c r="K31" s="83" t="n"/>
      <c r="L31" s="84" t="n"/>
    </row>
    <row r="32">
      <c r="G32" s="44" t="n"/>
    </row>
    <row r="33"/>
    <row r="34"/>
    <row r="35"/>
    <row r="36"/>
    <row r="37"/>
    <row r="38"/>
    <row r="39"/>
  </sheetData>
  <mergeCells count="17">
    <mergeCell ref="A6:C8"/>
    <mergeCell ref="J6:L8"/>
    <mergeCell ref="G28:L28"/>
    <mergeCell ref="A3:L3"/>
    <mergeCell ref="G30:L30"/>
    <mergeCell ref="G6:I8"/>
    <mergeCell ref="A5:C5"/>
    <mergeCell ref="G5:I5"/>
    <mergeCell ref="A1:L2"/>
    <mergeCell ref="G26:L26"/>
    <mergeCell ref="G29:L29"/>
    <mergeCell ref="G25:L25"/>
    <mergeCell ref="D5:F5"/>
    <mergeCell ref="G31:L31"/>
    <mergeCell ref="J5:L5"/>
    <mergeCell ref="G27:L27"/>
    <mergeCell ref="D6:F8"/>
  </mergeCells>
  <pageMargins left="0.75" right="0.75" top="1" bottom="1" header="0.5" footer="0.5"/>
  <pageSetup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Sakshi Kumari</dc:creator>
  <dcterms:created xmlns:dcterms="http://purl.org/dc/terms/" xmlns:xsi="http://www.w3.org/2001/XMLSchema-instance" xsi:type="dcterms:W3CDTF">2026-09-28T05:26:48Z</dcterms:created>
  <dcterms:modified xmlns:dcterms="http://purl.org/dc/terms/" xmlns:xsi="http://www.w3.org/2001/XMLSchema-instance" xsi:type="dcterms:W3CDTF">2026-09-30T15:55:02Z</dcterms:modified>
  <cp:lastModifiedBy>Sakshi Kumari</cp:lastModifiedBy>
</cp:coreProperties>
</file>